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froj\OneDrive\excel\"/>
    </mc:Choice>
  </mc:AlternateContent>
  <xr:revisionPtr revIDLastSave="0" documentId="13_ncr:1_{D4D2C56A-770A-4AC7-BC43-3067C1AF70D8}" xr6:coauthVersionLast="47" xr6:coauthVersionMax="47" xr10:uidLastSave="{00000000-0000-0000-0000-000000000000}"/>
  <bookViews>
    <workbookView xWindow="-108" yWindow="-108" windowWidth="23256" windowHeight="13896" firstSheet="3" activeTab="11" xr2:uid="{66A63A51-436F-42BA-8055-3B6E5E1A85E4}"/>
  </bookViews>
  <sheets>
    <sheet name="Vlookup1" sheetId="1" r:id="rId1"/>
    <sheet name="Vlookup2" sheetId="3" r:id="rId2"/>
    <sheet name="Data" sheetId="2" r:id="rId3"/>
    <sheet name="Xlookup" sheetId="4" r:id="rId4"/>
    <sheet name="Table2" sheetId="8" r:id="rId5"/>
    <sheet name="Sheet1" sheetId="5" r:id="rId6"/>
    <sheet name="Table4" sheetId="9" r:id="rId7"/>
    <sheet name="Sheet2" sheetId="6" r:id="rId8"/>
    <sheet name="Append1" sheetId="11" r:id="rId9"/>
    <sheet name="Data validation" sheetId="13" r:id="rId10"/>
    <sheet name="Developer" sheetId="14" r:id="rId11"/>
    <sheet name="Sheet7" sheetId="15" r:id="rId12"/>
    <sheet name="Table6" sheetId="10" r:id="rId13"/>
    <sheet name="Sheet3" sheetId="7" r:id="rId14"/>
    <sheet name="Sheet4" sheetId="12" r:id="rId15"/>
  </sheets>
  <definedNames>
    <definedName name="ExternalData_1" localSheetId="4" hidden="1">Table2!$A$1:$F$4</definedName>
    <definedName name="ExternalData_1" localSheetId="6" hidden="1">Table4!$A$1:$F$5</definedName>
    <definedName name="ExternalData_1" localSheetId="12" hidden="1">Table6!$A$1:$F$4</definedName>
    <definedName name="ExternalData_2" localSheetId="8" hidden="1">Append1!$A$1:$L$11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6" i="15" l="1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5" i="15"/>
  <c r="E116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5" i="14"/>
  <c r="M8" i="14"/>
  <c r="D3" i="4"/>
  <c r="D4" i="4"/>
  <c r="D5" i="4"/>
  <c r="D6" i="4"/>
  <c r="D7" i="4"/>
  <c r="D8" i="4"/>
  <c r="D9" i="4"/>
  <c r="D10" i="4"/>
  <c r="D2" i="4"/>
  <c r="C3" i="4"/>
  <c r="C4" i="4"/>
  <c r="C5" i="4"/>
  <c r="C6" i="4"/>
  <c r="C7" i="4"/>
  <c r="C8" i="4"/>
  <c r="C9" i="4"/>
  <c r="C10" i="4"/>
  <c r="C2" i="4"/>
  <c r="B3" i="4"/>
  <c r="B4" i="4"/>
  <c r="B5" i="4"/>
  <c r="B6" i="4"/>
  <c r="B7" i="4"/>
  <c r="B8" i="4"/>
  <c r="B9" i="4"/>
  <c r="B10" i="4"/>
  <c r="B2" i="4"/>
  <c r="C26" i="3" a="1"/>
  <c r="C26" i="3" s="1"/>
  <c r="C27" i="3" a="1"/>
  <c r="C27" i="3" s="1"/>
  <c r="C28" i="3" a="1"/>
  <c r="C28" i="3" s="1"/>
  <c r="C29" i="3" a="1"/>
  <c r="C29" i="3" s="1"/>
  <c r="C30" i="3" a="1"/>
  <c r="C30" i="3" s="1"/>
  <c r="C31" i="3" a="1"/>
  <c r="C31" i="3" s="1"/>
  <c r="C32" i="3" a="1"/>
  <c r="C32" i="3"/>
  <c r="C24" i="3" a="1"/>
  <c r="C24" i="3"/>
  <c r="C25" i="3" a="1"/>
  <c r="C25" i="3"/>
  <c r="C23" i="3" a="1"/>
  <c r="C23" i="3" s="1"/>
  <c r="B24" i="3"/>
  <c r="B25" i="3"/>
  <c r="B26" i="3"/>
  <c r="B27" i="3"/>
  <c r="B28" i="3"/>
  <c r="B29" i="3"/>
  <c r="B30" i="3"/>
  <c r="B31" i="3"/>
  <c r="B23" i="3"/>
  <c r="B3" i="3" a="1"/>
  <c r="B3" i="3" s="1"/>
  <c r="B4" i="3" a="1"/>
  <c r="B4" i="3" s="1"/>
  <c r="B5" i="3" a="1"/>
  <c r="B5" i="3" s="1"/>
  <c r="B6" i="3" a="1"/>
  <c r="B6" i="3" s="1"/>
  <c r="B7" i="3" a="1"/>
  <c r="B7" i="3" s="1"/>
  <c r="B8" i="3" a="1"/>
  <c r="B8" i="3" s="1"/>
  <c r="B9" i="3" a="1"/>
  <c r="B9" i="3" s="1"/>
  <c r="B10" i="3" a="1"/>
  <c r="B10" i="3" s="1"/>
  <c r="B2" i="3" a="1"/>
  <c r="B2" i="3" s="1"/>
  <c r="J11" i="1"/>
  <c r="J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A90FEAD-B5FD-4460-9BE7-A81B7F11EFF2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FC445A42-D18A-4615-AE77-9C24BC83D538}" keepAlive="1" name="Query - Table2" description="Connection to the 'Table2' query in the workbook." type="5" refreshedVersion="8" background="1" saveData="1">
    <dbPr connection="Provider=Microsoft.Mashup.OleDb.1;Data Source=$Workbook$;Location=Table2;Extended Properties=&quot;&quot;" command="SELECT * FROM [Table2]"/>
  </connection>
  <connection id="3" xr16:uid="{397539D6-92E6-40D7-BB99-59F438AD4EB1}" keepAlive="1" name="Query - Table4" description="Connection to the 'Table4' query in the workbook." type="5" refreshedVersion="8" background="1" saveData="1">
    <dbPr connection="Provider=Microsoft.Mashup.OleDb.1;Data Source=$Workbook$;Location=Table4;Extended Properties=&quot;&quot;" command="SELECT * FROM [Table4]"/>
  </connection>
  <connection id="4" xr16:uid="{30AE5CFF-6C23-4522-8A75-F194D222C39C}" keepAlive="1" name="Query - Table6" description="Connection to the 'Table6' query in the workbook." type="5" refreshedVersion="8" background="1" saveData="1">
    <dbPr connection="Provider=Microsoft.Mashup.OleDb.1;Data Source=$Workbook$;Location=Table6;Extended Properties=&quot;&quot;" command="SELECT * FROM [Table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<sst xmlns="http://schemas.openxmlformats.org/spreadsheetml/2006/main" count="3805" uniqueCount="454">
  <si>
    <t>vlookup</t>
  </si>
  <si>
    <t>Name</t>
  </si>
  <si>
    <t>Product Name</t>
  </si>
  <si>
    <t>Region</t>
  </si>
  <si>
    <t>City</t>
  </si>
  <si>
    <t>Gender</t>
  </si>
  <si>
    <t>Amount</t>
  </si>
  <si>
    <t>Bharat Innovations</t>
  </si>
  <si>
    <t>Speaker</t>
  </si>
  <si>
    <t>North</t>
  </si>
  <si>
    <t>Delhi</t>
  </si>
  <si>
    <t>Male</t>
  </si>
  <si>
    <t>Green Leaf Enterprises</t>
  </si>
  <si>
    <t>Earbuds</t>
  </si>
  <si>
    <t>West</t>
  </si>
  <si>
    <t>Mumbai</t>
  </si>
  <si>
    <t>Urban Pulse Technologies</t>
  </si>
  <si>
    <t>East</t>
  </si>
  <si>
    <t>Kolkata</t>
  </si>
  <si>
    <t>Mystic India Exports</t>
  </si>
  <si>
    <t>South</t>
  </si>
  <si>
    <t>Chennai</t>
  </si>
  <si>
    <t>Golden Horizon Ventures</t>
  </si>
  <si>
    <t>Women dress</t>
  </si>
  <si>
    <t>Bengaluru</t>
  </si>
  <si>
    <t>Eternal Traditions</t>
  </si>
  <si>
    <t>Hyderabad</t>
  </si>
  <si>
    <t>Apex Solutions</t>
  </si>
  <si>
    <t>Ahmedabad</t>
  </si>
  <si>
    <t>Harmony Foods</t>
  </si>
  <si>
    <t>Pune</t>
  </si>
  <si>
    <t>Pure Essence Skincare</t>
  </si>
  <si>
    <t>Jaipur</t>
  </si>
  <si>
    <t>Female</t>
  </si>
  <si>
    <t>Zenith Construction Co.</t>
  </si>
  <si>
    <t>Surat</t>
  </si>
  <si>
    <t>Radiant Health Systems</t>
  </si>
  <si>
    <t>Lucknow</t>
  </si>
  <si>
    <t>Divine Creations</t>
  </si>
  <si>
    <t>Kanpur</t>
  </si>
  <si>
    <t>Metro Tech Solutions</t>
  </si>
  <si>
    <t>Nagpur</t>
  </si>
  <si>
    <t>True Path Logistics</t>
  </si>
  <si>
    <t>Central</t>
  </si>
  <si>
    <t>Indore</t>
  </si>
  <si>
    <t>Sacred Roots Apparel</t>
  </si>
  <si>
    <t>Male dress</t>
  </si>
  <si>
    <t>Thane</t>
  </si>
  <si>
    <t>Quantum Finance Services</t>
  </si>
  <si>
    <t>North (Union Territory)</t>
  </si>
  <si>
    <t>Chandigarh</t>
  </si>
  <si>
    <t>Brilliant Minds Academy</t>
  </si>
  <si>
    <t>Bhopal</t>
  </si>
  <si>
    <t>Visionary Holdings</t>
  </si>
  <si>
    <t>Visakhapatnam</t>
  </si>
  <si>
    <t>Stellar Design Studio</t>
  </si>
  <si>
    <t>Patna</t>
  </si>
  <si>
    <t>Month</t>
  </si>
  <si>
    <t>Category</t>
  </si>
  <si>
    <t>State</t>
  </si>
  <si>
    <t>Quantity</t>
  </si>
  <si>
    <t>Rate</t>
  </si>
  <si>
    <t>January</t>
  </si>
  <si>
    <t>Electronic</t>
  </si>
  <si>
    <t>Maharashtra</t>
  </si>
  <si>
    <t>West Bengal</t>
  </si>
  <si>
    <t>Tamil Nadu</t>
  </si>
  <si>
    <t xml:space="preserve">Fashion </t>
  </si>
  <si>
    <t>Karnataka</t>
  </si>
  <si>
    <t>Telangana</t>
  </si>
  <si>
    <t>Gujarat</t>
  </si>
  <si>
    <t>Crystal Waters Resort</t>
  </si>
  <si>
    <t>Saree</t>
  </si>
  <si>
    <t>Excellence Tutors</t>
  </si>
  <si>
    <t>Madhya Pradesh</t>
  </si>
  <si>
    <t>Horizon Builders</t>
  </si>
  <si>
    <t>Andhra Pradesh</t>
  </si>
  <si>
    <t>Synergy Tech Solutions</t>
  </si>
  <si>
    <t>Bihar</t>
  </si>
  <si>
    <t>Classic Heritage Crafts</t>
  </si>
  <si>
    <t>Vadodara</t>
  </si>
  <si>
    <t>Prime Focus Media</t>
  </si>
  <si>
    <t>Suit</t>
  </si>
  <si>
    <t>Agra</t>
  </si>
  <si>
    <t>Uttar Pradesh</t>
  </si>
  <si>
    <t>Noble Nutraceuticals</t>
  </si>
  <si>
    <t>Meerut</t>
  </si>
  <si>
    <t>Supreme Travel Agency</t>
  </si>
  <si>
    <t>Coimbatore</t>
  </si>
  <si>
    <t>Future Vision Tech</t>
  </si>
  <si>
    <t>Madurai</t>
  </si>
  <si>
    <t>Urban Groove Apparel</t>
  </si>
  <si>
    <t>Jodhpur</t>
  </si>
  <si>
    <t>Rajasthan</t>
  </si>
  <si>
    <t>Echo Real Estate</t>
  </si>
  <si>
    <t>Varanasi</t>
  </si>
  <si>
    <t>Pinnacle Health Products</t>
  </si>
  <si>
    <t>Ranchi</t>
  </si>
  <si>
    <t>Jharkhand</t>
  </si>
  <si>
    <t>February</t>
  </si>
  <si>
    <t>Golden Era Realty</t>
  </si>
  <si>
    <t>TV</t>
  </si>
  <si>
    <t>Radiant Jewelry</t>
  </si>
  <si>
    <t>Laptop</t>
  </si>
  <si>
    <t>Gwalior</t>
  </si>
  <si>
    <t>Infinity Ventures</t>
  </si>
  <si>
    <t>Jamshedpur</t>
  </si>
  <si>
    <t>Royal Taste Foods</t>
  </si>
  <si>
    <t>Siliguri</t>
  </si>
  <si>
    <t>Harmony Homes</t>
  </si>
  <si>
    <t>Mangalore</t>
  </si>
  <si>
    <t>Urban Edge Consulting</t>
  </si>
  <si>
    <t>Prime Tech Innovations</t>
  </si>
  <si>
    <t>Legacy Designs</t>
  </si>
  <si>
    <t>Virtue Enterprises</t>
  </si>
  <si>
    <t>Radiant Health Club</t>
  </si>
  <si>
    <t>Bright Horizon Ventures</t>
  </si>
  <si>
    <t>Modern Lifestyle Products</t>
  </si>
  <si>
    <t>Nexus Trading Co.</t>
  </si>
  <si>
    <t>Radiance Spa</t>
  </si>
  <si>
    <t>Absolute Solutions</t>
  </si>
  <si>
    <t>Verve Fitness Studio</t>
  </si>
  <si>
    <t>Sparkle Cleaners</t>
  </si>
  <si>
    <t>Global Reach Logistics</t>
  </si>
  <si>
    <t>Noble Path Finance</t>
  </si>
  <si>
    <t>Dynamic Events Management</t>
  </si>
  <si>
    <t>Bold Ventures</t>
  </si>
  <si>
    <t>Prestige Automobiles</t>
  </si>
  <si>
    <t>Elite Marketing Solutions</t>
  </si>
  <si>
    <t>Natural Bliss Beverages</t>
  </si>
  <si>
    <t>Crystal Clear Solutions</t>
  </si>
  <si>
    <t>Modern Trends Fashion</t>
  </si>
  <si>
    <t>Heritage Crafts</t>
  </si>
  <si>
    <t>Future Insights Analytics</t>
  </si>
  <si>
    <t>Kochi</t>
  </si>
  <si>
    <t>Kerala</t>
  </si>
  <si>
    <t>Emerald Estate Developers</t>
  </si>
  <si>
    <t>Aurangabad</t>
  </si>
  <si>
    <t>Starlight Media Group</t>
  </si>
  <si>
    <t>Shimla</t>
  </si>
  <si>
    <t>Himachal Pradesh</t>
  </si>
  <si>
    <t>Supreme Electronics</t>
  </si>
  <si>
    <t>Dehradun</t>
  </si>
  <si>
    <t>Uttarakhand</t>
  </si>
  <si>
    <t>Optimum Wellness</t>
  </si>
  <si>
    <t>Northeast</t>
  </si>
  <si>
    <t>Guwahati</t>
  </si>
  <si>
    <t>Assam</t>
  </si>
  <si>
    <t>Zenith Books Publishing</t>
  </si>
  <si>
    <t>Amritsar</t>
  </si>
  <si>
    <t>Punjab</t>
  </si>
  <si>
    <t>Pinnacle Innovations</t>
  </si>
  <si>
    <t>Raipur</t>
  </si>
  <si>
    <t>Chhattisgarh</t>
  </si>
  <si>
    <t>Apex Travel Services</t>
  </si>
  <si>
    <t>Durgapur</t>
  </si>
  <si>
    <t>Apex Auto Care</t>
  </si>
  <si>
    <t>Royal Glow Cosmetics</t>
  </si>
  <si>
    <t>Zenith Culinary Arts</t>
  </si>
  <si>
    <t>Visionary Tours</t>
  </si>
  <si>
    <t>Horizon Wellness</t>
  </si>
  <si>
    <t>Decor</t>
  </si>
  <si>
    <t>Car accessories</t>
  </si>
  <si>
    <t>True Value Electronics</t>
  </si>
  <si>
    <t>Harmony Homes Realty</t>
  </si>
  <si>
    <t>Stellar Advertising</t>
  </si>
  <si>
    <t>Radiant Enterprise Solutions</t>
  </si>
  <si>
    <t>Modern Trends Retail</t>
  </si>
  <si>
    <t>Global Spectrum Consulting</t>
  </si>
  <si>
    <t>Elite Essence Products</t>
  </si>
  <si>
    <t>Dynamic Creations</t>
  </si>
  <si>
    <t>Quantum Design Studio</t>
  </si>
  <si>
    <t>Infinite Solutions</t>
  </si>
  <si>
    <t>Apex Construction</t>
  </si>
  <si>
    <t>March</t>
  </si>
  <si>
    <t>Legacy Innovations</t>
  </si>
  <si>
    <t>Pure Harmony Foods</t>
  </si>
  <si>
    <t>Zenith Security Systems</t>
  </si>
  <si>
    <t>Crystal Clear Beverages</t>
  </si>
  <si>
    <t>Metro Line Tech</t>
  </si>
  <si>
    <t>Urban Pulse Consulting</t>
  </si>
  <si>
    <t>Radiant Vision Studios</t>
  </si>
  <si>
    <t>Home décor</t>
  </si>
  <si>
    <t>Noble Travel Services</t>
  </si>
  <si>
    <t>Bright Future Academy</t>
  </si>
  <si>
    <t>Synergy Solutions Group</t>
  </si>
  <si>
    <t>Visionary Health Systems</t>
  </si>
  <si>
    <t>Apex Retailers</t>
  </si>
  <si>
    <t>Prestige Property Developers</t>
  </si>
  <si>
    <t>Classic Trends Fashion</t>
  </si>
  <si>
    <t>Harmony Ventures</t>
  </si>
  <si>
    <t>Stellar Realty</t>
  </si>
  <si>
    <t>Future Path Technologies</t>
  </si>
  <si>
    <t>Elite Edge Services</t>
  </si>
  <si>
    <t>Radiance Health and Wellness</t>
  </si>
  <si>
    <t>Legacy Auto Works</t>
  </si>
  <si>
    <t>Prime Essence Creations</t>
  </si>
  <si>
    <t>Quantum Ventures</t>
  </si>
  <si>
    <t>Horizon Tech Solutions</t>
  </si>
  <si>
    <t>Urban Legends Apparel</t>
  </si>
  <si>
    <t>Pure Bliss Beverages</t>
  </si>
  <si>
    <t>Noble Heights Builders</t>
  </si>
  <si>
    <t>Radiant Foods</t>
  </si>
  <si>
    <t>Zenith Financial Services</t>
  </si>
  <si>
    <t>Apex Travel Ventures</t>
  </si>
  <si>
    <t>Legacy Design Group</t>
  </si>
  <si>
    <t>Supreme Wellness</t>
  </si>
  <si>
    <t>Harmony Tech Innovations</t>
  </si>
  <si>
    <t>Stellar Education Services</t>
  </si>
  <si>
    <t>Visionary Health Products</t>
  </si>
  <si>
    <t>Crystal Innovations</t>
  </si>
  <si>
    <t>Future Trends Retail</t>
  </si>
  <si>
    <t>Radiant Horizon Ventures</t>
  </si>
  <si>
    <t>April</t>
  </si>
  <si>
    <t>Urban Edge Realty</t>
  </si>
  <si>
    <t>Prime Focus Innovations</t>
  </si>
  <si>
    <t>Elite Spectrum Consulting</t>
  </si>
  <si>
    <t>Dynamic Design Studio</t>
  </si>
  <si>
    <t>Apex Wellness Solutions</t>
  </si>
  <si>
    <t>Royal Crest Foods</t>
  </si>
  <si>
    <t>Zenith Travels</t>
  </si>
  <si>
    <t>Modern Harmony Products</t>
  </si>
  <si>
    <t>Horizon Builders &amp; Developers</t>
  </si>
  <si>
    <t>Radiance Tech Solutions</t>
  </si>
  <si>
    <t>Legacy Apparel</t>
  </si>
  <si>
    <t>Pinnacle Education Group</t>
  </si>
  <si>
    <t>Noble Innovations</t>
  </si>
  <si>
    <t>Crystal Clear Realty</t>
  </si>
  <si>
    <t>Future Vision Realty</t>
  </si>
  <si>
    <t>Urban Pulse Media</t>
  </si>
  <si>
    <t>True Essence Health</t>
  </si>
  <si>
    <t>Apex Enterprise Solutions</t>
  </si>
  <si>
    <t>Radiant Vision Realty</t>
  </si>
  <si>
    <t>Harmony Consulting Group</t>
  </si>
  <si>
    <t>Zenith Tech Ventures</t>
  </si>
  <si>
    <t>Stellar Health Services</t>
  </si>
  <si>
    <t>Pure Path Foods</t>
  </si>
  <si>
    <t>Prestige Solutions</t>
  </si>
  <si>
    <t>Bright Horizon Realty</t>
  </si>
  <si>
    <t>Quantum Media Group</t>
  </si>
  <si>
    <t>May</t>
  </si>
  <si>
    <t>Legacy Builders</t>
  </si>
  <si>
    <t>Apex Spa &amp; Wellness</t>
  </si>
  <si>
    <t>Radiant Travel Services</t>
  </si>
  <si>
    <t>Modern Trends Consulting</t>
  </si>
  <si>
    <t>Global Horizon Ventures</t>
  </si>
  <si>
    <t>Elite Enterprises</t>
  </si>
  <si>
    <t>Urban Wave Solutions</t>
  </si>
  <si>
    <t>Pinnacle Health Innovations</t>
  </si>
  <si>
    <t>Horizon Fashion</t>
  </si>
  <si>
    <t>Crystal Essence Beverages</t>
  </si>
  <si>
    <t>Dynamic Pathways</t>
  </si>
  <si>
    <t>Visionary Realty Solutions</t>
  </si>
  <si>
    <t>Radiance Apparel</t>
  </si>
  <si>
    <t>Zenith Design Group</t>
  </si>
  <si>
    <t>Apex Publishing House</t>
  </si>
  <si>
    <t>True Value Consulting</t>
  </si>
  <si>
    <t>Future Path Ventures</t>
  </si>
  <si>
    <t>Stellar Tech Services</t>
  </si>
  <si>
    <t>Legacy Travel Agency</t>
  </si>
  <si>
    <t>Harmony Innovations</t>
  </si>
  <si>
    <t>Pure Essence Solutions</t>
  </si>
  <si>
    <t>Elite Media Group</t>
  </si>
  <si>
    <t>Radiant Construction</t>
  </si>
  <si>
    <t>Pinnacle Finance</t>
  </si>
  <si>
    <t>Horizon Tech Ventures</t>
  </si>
  <si>
    <t>Crystal Health Solutions</t>
  </si>
  <si>
    <t>Modern Horizons Consulting</t>
  </si>
  <si>
    <t>Apex Realty Services</t>
  </si>
  <si>
    <t>Zenith Educational Group</t>
  </si>
  <si>
    <t>True Path Ventures</t>
  </si>
  <si>
    <t>Radiance Media</t>
  </si>
  <si>
    <t>Legacy Health Systems</t>
  </si>
  <si>
    <t>Urban Focus Products</t>
  </si>
  <si>
    <t>Elite Edge Consulting</t>
  </si>
  <si>
    <t>Stellar Travel Solutions</t>
  </si>
  <si>
    <t>Harmony Tech Ventures</t>
  </si>
  <si>
    <t>Pure Harmony Solutions</t>
  </si>
  <si>
    <t>Radiant Fitness Studio</t>
  </si>
  <si>
    <t>Zenith Finance Co.</t>
  </si>
  <si>
    <t>June</t>
  </si>
  <si>
    <t>Apex Events Management</t>
  </si>
  <si>
    <t>Visionary Innovations</t>
  </si>
  <si>
    <t>Horizon Design Studio</t>
  </si>
  <si>
    <t>Modern Spectrum Solutions</t>
  </si>
  <si>
    <t>Legacy Tech Products</t>
  </si>
  <si>
    <t>Pinnacle Wellness Services</t>
  </si>
  <si>
    <t>Urban Insight Consulting</t>
  </si>
  <si>
    <t>Crystal Horizons</t>
  </si>
  <si>
    <t>Radiant Apparel</t>
  </si>
  <si>
    <t>True Value Products</t>
  </si>
  <si>
    <t>Apex Creative Solutions</t>
  </si>
  <si>
    <t>Zenith Health Products</t>
  </si>
  <si>
    <t>Stellar Media Group</t>
  </si>
  <si>
    <t>Harmony Finance Co.</t>
  </si>
  <si>
    <t>Pure Vision Ventures</t>
  </si>
  <si>
    <t>Radiance Solutions Group</t>
  </si>
  <si>
    <t>Legacy Travel Services</t>
  </si>
  <si>
    <t>Elite Spectrum Media</t>
  </si>
  <si>
    <t>Modern Edge Solutions</t>
  </si>
  <si>
    <t>Pinnacle Design Studio</t>
  </si>
  <si>
    <t>Horizon Health Solutions</t>
  </si>
  <si>
    <t>Crystal Clear Consulting</t>
  </si>
  <si>
    <t>Apex Marketing Solutions</t>
  </si>
  <si>
    <t>Zenith Innovations</t>
  </si>
  <si>
    <t>Stellar Wellness Products</t>
  </si>
  <si>
    <t>Radiant Consulting Group</t>
  </si>
  <si>
    <t>Harmony Ventures Co.</t>
  </si>
  <si>
    <t>Urban Path Technologies</t>
  </si>
  <si>
    <t>True Essence Innovations</t>
  </si>
  <si>
    <t>Pinnacle Media Group</t>
  </si>
  <si>
    <t>Legacy Design Co.</t>
  </si>
  <si>
    <t>Apex Health Products</t>
  </si>
  <si>
    <t>Zenith Travel Ventures</t>
  </si>
  <si>
    <t>Pure Path Consulting</t>
  </si>
  <si>
    <t>July</t>
  </si>
  <si>
    <t>Radiance Solutions Co.</t>
  </si>
  <si>
    <t>Modern Vision Ventures</t>
  </si>
  <si>
    <t>Elite Travel Services</t>
  </si>
  <si>
    <t>Horizon Creative Solutions</t>
  </si>
  <si>
    <t>Crystal Innovations Group</t>
  </si>
  <si>
    <t>Pinnacle Fitness Studio</t>
  </si>
  <si>
    <t>Stellar Travel Agency</t>
  </si>
  <si>
    <t>Harmony Educational Group</t>
  </si>
  <si>
    <t>Urban Spectrum Solutions</t>
  </si>
  <si>
    <t>Radiant Design Studio</t>
  </si>
  <si>
    <t>Zenith Health Innovations</t>
  </si>
  <si>
    <t>Apex Realty Ventures</t>
  </si>
  <si>
    <t>Legacy Wellness Solutions</t>
  </si>
  <si>
    <t>True Value Ventures</t>
  </si>
  <si>
    <t>Horizon Media Solutions</t>
  </si>
  <si>
    <t>Crystal Clear Designs</t>
  </si>
  <si>
    <t>Pinnacle Innovations Co.</t>
  </si>
  <si>
    <t>Modern Pathways</t>
  </si>
  <si>
    <t>Stellar Finance Co.</t>
  </si>
  <si>
    <t>Radiant Spectrum Group</t>
  </si>
  <si>
    <t>Harmony Design Ventures</t>
  </si>
  <si>
    <t>Elite Edge Products</t>
  </si>
  <si>
    <t>Zenith Consulting Co.</t>
  </si>
  <si>
    <t>Apex Wellness Products</t>
  </si>
  <si>
    <t>Urban Vision Solutions</t>
  </si>
  <si>
    <t>Pure Harmony Innovations</t>
  </si>
  <si>
    <t>Legacy Media Group</t>
  </si>
  <si>
    <t>Pinnacle Travel Solutions</t>
  </si>
  <si>
    <t>Horizon Tech Innovations</t>
  </si>
  <si>
    <t>Crystal Spectrum Consulting</t>
  </si>
  <si>
    <t>Stellar Creative Co.</t>
  </si>
  <si>
    <t>Radiance Media Ventures</t>
  </si>
  <si>
    <t>Harmony Health Solutions</t>
  </si>
  <si>
    <t>Zenith Edge Services</t>
  </si>
  <si>
    <t>Modern Vision Solutions</t>
  </si>
  <si>
    <t>True Path Consulting</t>
  </si>
  <si>
    <t>Legacy Finance Group</t>
  </si>
  <si>
    <t>Pinnacle Design Ventures</t>
  </si>
  <si>
    <t>Stellar Innovations Co.</t>
  </si>
  <si>
    <t>Radiant Educational Solutions</t>
  </si>
  <si>
    <t>Harmony Marketing Co.</t>
  </si>
  <si>
    <t>Urban Tech Innovations</t>
  </si>
  <si>
    <t>August</t>
  </si>
  <si>
    <t>Crystal Wellness Group</t>
  </si>
  <si>
    <t>Zenith Creative Solutions</t>
  </si>
  <si>
    <t>Apex Media Co.</t>
  </si>
  <si>
    <t>Pure Vision Solutions</t>
  </si>
  <si>
    <t>Legacy Health Ventures</t>
  </si>
  <si>
    <t>Pinnacle Spectrum Co.</t>
  </si>
  <si>
    <t>Stellar Travel Products</t>
  </si>
  <si>
    <t>Radiance Finance Services</t>
  </si>
  <si>
    <t>Harmony Edge Solutions</t>
  </si>
  <si>
    <t>Modern Travel Agency</t>
  </si>
  <si>
    <t>Crystal Path Consulting</t>
  </si>
  <si>
    <t>Zenith Educational Services</t>
  </si>
  <si>
    <t>Apex Innovations Co.</t>
  </si>
  <si>
    <t>Pure Harmony Health</t>
  </si>
  <si>
    <t>Legacy Travel Ventures</t>
  </si>
  <si>
    <t>Pinnacle Media Solutions</t>
  </si>
  <si>
    <t>Stellar Design Group</t>
  </si>
  <si>
    <t>Radiant Tech Solutions</t>
  </si>
  <si>
    <t>Horizon Ventures Co.</t>
  </si>
  <si>
    <t>Elite Creative Solutions</t>
  </si>
  <si>
    <t>Zenith Wellness Services</t>
  </si>
  <si>
    <t>Apex Travel Innovations</t>
  </si>
  <si>
    <t>Modern Health Products</t>
  </si>
  <si>
    <t>Harmony Finance Group</t>
  </si>
  <si>
    <t>Pure Vision Consulting</t>
  </si>
  <si>
    <t>Legacy Spectrum Co.</t>
  </si>
  <si>
    <t>Pinnacle Design Solutions</t>
  </si>
  <si>
    <t>Stellar Media Services</t>
  </si>
  <si>
    <t>Radiant Innovations Group</t>
  </si>
  <si>
    <t>Horizon Path Ventures</t>
  </si>
  <si>
    <t>Zenith Tech Co.</t>
  </si>
  <si>
    <t>Apex Finance Ventures</t>
  </si>
  <si>
    <t>Legacy Travel Co.</t>
  </si>
  <si>
    <t>Pinnacle Innovations Group</t>
  </si>
  <si>
    <t>Radiance Design Co.</t>
  </si>
  <si>
    <t>Zenith Path Solutions</t>
  </si>
  <si>
    <t>September</t>
  </si>
  <si>
    <t>Apex Educational Group</t>
  </si>
  <si>
    <t>Modern Wellness Co.</t>
  </si>
  <si>
    <t>Pure Spectrum Innovations</t>
  </si>
  <si>
    <t>Legacy Media Solutions</t>
  </si>
  <si>
    <t>Pinnacle Travel Co.</t>
  </si>
  <si>
    <t>Stellar Consulting Services</t>
  </si>
  <si>
    <t>Radiant Ventures</t>
  </si>
  <si>
    <t>Harmony Tech Co.</t>
  </si>
  <si>
    <t>Zenith Creative Ventures</t>
  </si>
  <si>
    <t>Apex Health Services</t>
  </si>
  <si>
    <t>Pure Vision Media</t>
  </si>
  <si>
    <t>Legacy Innovations Group</t>
  </si>
  <si>
    <t>Pinnacle Consulting Co.</t>
  </si>
  <si>
    <t>Stellar Finance Group</t>
  </si>
  <si>
    <t>Radiant Solutions Co.</t>
  </si>
  <si>
    <t>Harmony Ventures Group</t>
  </si>
  <si>
    <t>Zenith Wellness Co.</t>
  </si>
  <si>
    <t>Apex Design Services</t>
  </si>
  <si>
    <t>Modern Travel Solutions</t>
  </si>
  <si>
    <t>Pure Health Ventures</t>
  </si>
  <si>
    <t>Legacy Spectrum Group</t>
  </si>
  <si>
    <t>Pinnacle Media Ventures</t>
  </si>
  <si>
    <t>Stellar Innovations Group</t>
  </si>
  <si>
    <t>Radiant Educational Co.</t>
  </si>
  <si>
    <t>Harmony Edge Ventures</t>
  </si>
  <si>
    <t>Zenith Tech Solutions</t>
  </si>
  <si>
    <t>Apex Finance Group</t>
  </si>
  <si>
    <t>Pure Harmony Media</t>
  </si>
  <si>
    <t>Legacy Health Co.</t>
  </si>
  <si>
    <t>October</t>
  </si>
  <si>
    <t>November</t>
  </si>
  <si>
    <t>December</t>
  </si>
  <si>
    <t>S no</t>
  </si>
  <si>
    <t>Product</t>
  </si>
  <si>
    <t>Unit Price</t>
  </si>
  <si>
    <t>Sales Date</t>
  </si>
  <si>
    <t>pen</t>
  </si>
  <si>
    <t>pencil</t>
  </si>
  <si>
    <t>Notebook</t>
  </si>
  <si>
    <t>south</t>
  </si>
  <si>
    <t>west</t>
  </si>
  <si>
    <t>laptop</t>
  </si>
  <si>
    <t>bottle</t>
  </si>
  <si>
    <t>mobile</t>
  </si>
  <si>
    <t>keyboard</t>
  </si>
  <si>
    <t>Column1</t>
  </si>
  <si>
    <t>Column2</t>
  </si>
  <si>
    <t>Column3</t>
  </si>
  <si>
    <t>Column4</t>
  </si>
  <si>
    <t>Column5</t>
  </si>
  <si>
    <t>Column6</t>
  </si>
  <si>
    <t>0</t>
  </si>
  <si>
    <t>online ofline</t>
  </si>
  <si>
    <t>onlin. offline</t>
  </si>
  <si>
    <t>s n0</t>
  </si>
  <si>
    <t>party name</t>
  </si>
  <si>
    <t>Total</t>
  </si>
  <si>
    <t>ctrl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</si>
</sst>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 [$₹-4009]\ * #,##0.00_ ;_ [$₹-4009]\ * \-#,##0.00_ ;_ [$₹-4009]\ * &quot;-&quot;??_ ;_ @_ 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5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5" fillId="0" borderId="7" xfId="0" applyFont="1" applyBorder="1"/>
    <xf numFmtId="0" fontId="5" fillId="0" borderId="9" xfId="0" applyFont="1" applyBorder="1"/>
    <xf numFmtId="0" fontId="2" fillId="2" borderId="1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14" fontId="0" fillId="0" borderId="0" xfId="0" applyNumberFormat="1"/>
    <xf numFmtId="0" fontId="9" fillId="6" borderId="0" xfId="0" applyFont="1" applyFill="1"/>
    <xf numFmtId="0" fontId="9" fillId="6" borderId="15" xfId="0" applyFont="1" applyFill="1" applyBorder="1"/>
    <xf numFmtId="22" fontId="0" fillId="0" borderId="0" xfId="0" applyNumberFormat="1"/>
    <xf numFmtId="164" fontId="0" fillId="0" borderId="0" xfId="1" applyNumberFormat="1" applyFont="1"/>
    <xf numFmtId="0" fontId="0" fillId="8" borderId="0" xfId="0" applyFill="1"/>
    <xf numFmtId="0" fontId="0" fillId="7" borderId="0" xfId="0" applyFill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9"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27" formatCode="dd/mm/yyyy\ hh:mm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477E28AD-C0C2-4C1C-9C51-9C9797C187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6" fmlaLink="$K$8" max="30000" min="1" page="10" val="17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0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616980</xdr:colOff>
      <xdr:row>369</xdr:row>
      <xdr:rowOff>83880</xdr:rowOff>
    </xdr:from>
    <xdr:to>
      <xdr:col>11</xdr:col>
      <xdr:colOff>18480</xdr:colOff>
      <xdr:row>369</xdr:row>
      <xdr:rowOff>84240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87F2335-E788-4B5C-A27A-D080CD5701CA}"/>
                </a:ext>
              </a:extLst>
            </xdr14:cNvPr>
            <xdr14:cNvContentPartPr/>
          </xdr14:nvContentPartPr>
          <xdr14:nvPr macro=""/>
          <xdr14:xfrm>
            <a:off x="11003040" y="65737800"/>
            <a:ext cx="1872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D9E7F7C3-B0AA-94AA-1784-6C060F9CCC6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996920" y="65731680"/>
              <a:ext cx="3096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83820</xdr:rowOff>
        </xdr:from>
        <xdr:to>
          <xdr:col>9</xdr:col>
          <xdr:colOff>373380</xdr:colOff>
          <xdr:row>7</xdr:row>
          <xdr:rowOff>68580</xdr:rowOff>
        </xdr:to>
        <xdr:sp macro="" textlink="">
          <xdr:nvSpPr>
            <xdr:cNvPr id="14338" name="Spinner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A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5-05T12:53:29.573"/>
    </inkml:context>
    <inkml:brush xml:id="br0">
      <inkml:brushProperty name="width" value="0.035" units="cm"/>
      <inkml:brushProperty name="height" value="0.035" units="cm"/>
      <inkml:brushProperty name="color" value="#004F8B"/>
    </inkml:brush>
  </inkml:definitions>
  <inkml:trace contextRef="#ctx0" brushRef="#br0">1 0 24575,'3'0'0,"9"0"0,6 0 0,0 0-8191</inkml:trace>
</inkml: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9F5ABB-4B91-4EEC-9E68-461CD26756E3}" autoFormatId="16" applyNumberFormats="0" applyBorderFormats="0" applyFontFormats="0" applyPatternFormats="0" applyAlignmentFormats="0" applyWidthHeightFormats="0">
  <queryTableRefresh nextId="7">
    <queryTableFields count="6">
      <queryTableField id="1" name="S no" tableColumnId="1"/>
      <queryTableField id="2" name="Region" tableColumnId="2"/>
      <queryTableField id="3" name="Product" tableColumnId="3"/>
      <queryTableField id="4" name="Quantity" tableColumnId="4"/>
      <queryTableField id="5" name="Unit Price" tableColumnId="5"/>
      <queryTableField id="6" name="Sales Date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6E085A3-B379-4AAC-99D0-A8A3A020DF0F}" autoFormatId="16" applyNumberFormats="0" applyBorderFormats="0" applyFontFormats="0" applyPatternFormats="0" applyAlignmentFormats="0" applyWidthHeightFormats="0">
  <queryTableRefresh nextId="7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1E541F1-E193-433E-9677-323489065252}" autoFormatId="16" applyNumberFormats="0" applyBorderFormats="0" applyFontFormats="0" applyPatternFormats="0" applyAlignmentFormats="0" applyWidthHeightFormats="0">
  <queryTableRefresh nextId="13">
    <queryTableFields count="12">
      <queryTableField id="1" name="S no" tableColumnId="1"/>
      <queryTableField id="2" name="Region" tableColumnId="2"/>
      <queryTableField id="3" name="Product" tableColumnId="3"/>
      <queryTableField id="4" name="Quantity" tableColumnId="4"/>
      <queryTableField id="5" name="Unit Price" tableColumnId="5"/>
      <queryTableField id="6" name="Sales Date" tableColumnId="6"/>
      <queryTableField id="7" name="Column1" tableColumnId="7"/>
      <queryTableField id="8" name="Column2" tableColumnId="8"/>
      <queryTableField id="9" name="Column3" tableColumnId="9"/>
      <queryTableField id="10" name="Column4" tableColumnId="10"/>
      <queryTableField id="11" name="Column5" tableColumnId="11"/>
      <queryTableField id="12" name="Column6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66FFD5DA-73CA-4180-A958-76C3AF9F23BA}" autoFormatId="16" applyNumberFormats="0" applyBorderFormats="0" applyFontFormats="0" applyPatternFormats="0" applyAlignmentFormats="0" applyWidthHeightFormats="0">
  <queryTableRefresh nextId="7">
    <queryTableFields count="6">
      <queryTableField id="1" name="S no" tableColumnId="1"/>
      <queryTableField id="2" name="Region" tableColumnId="2"/>
      <queryTableField id="3" name="Product" tableColumnId="3"/>
      <queryTableField id="4" name="Quantity" tableColumnId="4"/>
      <queryTableField id="5" name="Unit Price" tableColumnId="5"/>
      <queryTableField id="6" name="Sales Dat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2140E7-26C4-4BF9-AB4E-D16AC4E5A4F0}" name="Table2_1" displayName="Table2_1" ref="A1:F4" tableType="queryTable" totalsRowShown="0">
  <autoFilter ref="A1:F4" xr:uid="{4D2140E7-26C4-4BF9-AB4E-D16AC4E5A4F0}"/>
  <tableColumns count="6">
    <tableColumn id="1" xr3:uid="{55086430-8A29-4EAE-B761-9C62CF802681}" uniqueName="1" name="S no" queryTableFieldId="1"/>
    <tableColumn id="2" xr3:uid="{06D31360-52B5-4C15-82A7-0CDE29D27949}" uniqueName="2" name="Region" queryTableFieldId="2" dataDxfId="18"/>
    <tableColumn id="3" xr3:uid="{AB4A1804-8717-43CE-B72B-9A675157BF41}" uniqueName="3" name="Product" queryTableFieldId="3" dataDxfId="17"/>
    <tableColumn id="4" xr3:uid="{CC4598BA-CA02-4C07-BECD-36B4475B2391}" uniqueName="4" name="Quantity" queryTableFieldId="4"/>
    <tableColumn id="5" xr3:uid="{47F5F030-6FF7-4C3A-8B40-5E900325815A}" uniqueName="5" name="Unit Price" queryTableFieldId="5"/>
    <tableColumn id="6" xr3:uid="{7F7AA111-DF89-4DAC-AF19-9B2F421AE797}" uniqueName="6" name="Sales Date" queryTableFieldId="6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F2D95B8-77DA-4743-BA52-1E7EB9124E70}" name="Table2" displayName="Table2" ref="A1:F4" totalsRowShown="0" headerRowDxfId="15">
  <autoFilter ref="A1:F4" xr:uid="{EF2D95B8-77DA-4743-BA52-1E7EB9124E70}"/>
  <tableColumns count="6">
    <tableColumn id="1" xr3:uid="{52308763-EC8D-48D4-B5A8-DA5D78BF9201}" name="S no"/>
    <tableColumn id="2" xr3:uid="{511C1D41-4584-4FD9-BA5A-4298020FA780}" name="Region"/>
    <tableColumn id="3" xr3:uid="{CF417777-3AF5-4B6E-92FC-942808EAE380}" name="Product"/>
    <tableColumn id="4" xr3:uid="{198D5BCE-8414-42C7-AD7F-B9AF6ABEBFBF}" name="Quantity"/>
    <tableColumn id="5" xr3:uid="{EEFBB048-B239-4D43-9DDF-43963398F847}" name="Unit Price"/>
    <tableColumn id="6" xr3:uid="{70623EEF-4093-4A66-9123-49C0962C9392}" name="Sales Date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E2D645B-BBF9-40A6-A922-B89CE7814D4E}" name="Table4_1" displayName="Table4_1" ref="A1:F5" tableType="queryTable" totalsRowShown="0">
  <autoFilter ref="A1:F5" xr:uid="{AE2D645B-BBF9-40A6-A922-B89CE7814D4E}"/>
  <tableColumns count="6">
    <tableColumn id="1" xr3:uid="{BFA2C37A-E9F4-4F9E-BDA5-BC8AF525F35A}" uniqueName="1" name="Column1" queryTableFieldId="1"/>
    <tableColumn id="2" xr3:uid="{7337A946-7150-49D6-A862-BF66D6726E3F}" uniqueName="2" name="Column2" queryTableFieldId="2" dataDxfId="13"/>
    <tableColumn id="3" xr3:uid="{26214C7F-1EB1-4121-A94F-9B455D2F1384}" uniqueName="3" name="Column3" queryTableFieldId="3" dataDxfId="12"/>
    <tableColumn id="4" xr3:uid="{4927188E-9137-4906-902C-D25E4DBCDD65}" uniqueName="4" name="Column4" queryTableFieldId="4"/>
    <tableColumn id="5" xr3:uid="{18277F51-2AFC-4005-AB91-65A270D8ACCE}" uniqueName="5" name="Column5" queryTableFieldId="5"/>
    <tableColumn id="6" xr3:uid="{1AE12399-AA7B-4038-9632-160A9A624A1F}" uniqueName="6" name="Column6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3D15C5-212C-421A-8F20-586A39209C5F}" name="Table4" displayName="Table4" ref="A1:F5" totalsRowShown="0" headerRowDxfId="11">
  <autoFilter ref="A1:F5" xr:uid="{013D15C5-212C-421A-8F20-586A39209C5F}"/>
  <tableColumns count="6">
    <tableColumn id="1" xr3:uid="{5FE52B94-C3C0-412D-B6F6-79D445ABB1BF}" name="Column1"/>
    <tableColumn id="2" xr3:uid="{600EC17E-620A-4615-8B65-32C2007FA126}" name="Column2"/>
    <tableColumn id="3" xr3:uid="{2A37B8E6-D154-4A18-A484-24E4C3C5EACB}" name="Column3"/>
    <tableColumn id="4" xr3:uid="{BA4222B7-CCE0-4265-BC70-E3945ECAE849}" name="Column4"/>
    <tableColumn id="5" xr3:uid="{E1B09809-23AD-41D3-94D0-5EDE47526790}" name="Column5"/>
    <tableColumn id="6" xr3:uid="{E3C9FAC7-84C0-49AF-ACC2-1239CAE51169}" name="Column6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C9A11C4-82A0-4143-B58D-09B1B0DCB6CA}" name="Append1" displayName="Append1" ref="A1:L11" tableType="queryTable" totalsRowShown="0">
  <autoFilter ref="A1:L11" xr:uid="{DC9A11C4-82A0-4143-B58D-09B1B0DCB6CA}"/>
  <tableColumns count="12">
    <tableColumn id="1" xr3:uid="{80C2E723-A05D-47E5-A19C-9E7C0DD52E8C}" uniqueName="1" name="S no" queryTableFieldId="1"/>
    <tableColumn id="2" xr3:uid="{899EB30C-2D0A-4FFF-A86F-FEEF227C222E}" uniqueName="2" name="Region" queryTableFieldId="2" dataDxfId="9"/>
    <tableColumn id="3" xr3:uid="{BA54B174-7355-4D65-93DE-3A7B21CD6406}" uniqueName="3" name="Product" queryTableFieldId="3" dataDxfId="8"/>
    <tableColumn id="4" xr3:uid="{04E0EB34-37C6-4F46-917A-8EE3B802C3A7}" uniqueName="4" name="Quantity" queryTableFieldId="4"/>
    <tableColumn id="5" xr3:uid="{B245E65E-33DF-4CB5-A8DC-E5CD0107754F}" uniqueName="5" name="Unit Price" queryTableFieldId="5"/>
    <tableColumn id="6" xr3:uid="{7C60D50B-FB38-4387-8D8A-06BE155FC6EF}" uniqueName="6" name="Sales Date" queryTableFieldId="6" dataDxfId="7"/>
    <tableColumn id="7" xr3:uid="{CEC2BFD7-D5BE-4547-BC1D-850B1DEE9E08}" uniqueName="7" name="Column1" queryTableFieldId="7"/>
    <tableColumn id="8" xr3:uid="{7D4C7E6C-7F9A-4CE1-92F2-E3220973C88F}" uniqueName="8" name="Column2" queryTableFieldId="8" dataDxfId="6"/>
    <tableColumn id="9" xr3:uid="{C8BB0837-15F8-41E7-8D0F-2E2AEA95B166}" uniqueName="9" name="Column3" queryTableFieldId="9" dataDxfId="5"/>
    <tableColumn id="10" xr3:uid="{C736D2F9-B6CA-4AEC-B9FD-53963F49A76F}" uniqueName="10" name="Column4" queryTableFieldId="10"/>
    <tableColumn id="11" xr3:uid="{7B4DD002-8728-403E-96BE-886CC158DD19}" uniqueName="11" name="Column5" queryTableFieldId="11"/>
    <tableColumn id="12" xr3:uid="{A1E50CDD-EB17-4FD9-8C82-CBA95D615F95}" uniqueName="12" name="Column6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5A8936B-4D58-466B-9514-7B57C1DEC030}" name="Table6_1" displayName="Table6_1" ref="A1:F4" tableType="queryTable" totalsRowShown="0">
  <autoFilter ref="A1:F4" xr:uid="{65A8936B-4D58-466B-9514-7B57C1DEC030}"/>
  <tableColumns count="6">
    <tableColumn id="1" xr3:uid="{46D1DBC1-7F0A-445B-BAD7-1E690413818B}" uniqueName="1" name="S no" queryTableFieldId="1"/>
    <tableColumn id="2" xr3:uid="{E3F3AA47-6CD0-4286-AC58-58178FFFC9AF}" uniqueName="2" name="Region" queryTableFieldId="2" dataDxfId="4"/>
    <tableColumn id="3" xr3:uid="{6367466A-8E5B-4ACD-9814-0F21987CA165}" uniqueName="3" name="Product" queryTableFieldId="3" dataDxfId="3"/>
    <tableColumn id="4" xr3:uid="{10A04171-4327-47EE-89A9-9D742B0C4D3E}" uniqueName="4" name="Quantity" queryTableFieldId="4"/>
    <tableColumn id="5" xr3:uid="{E93ADDC9-C311-407E-8321-48353A399072}" uniqueName="5" name="Unit Price" queryTableFieldId="5"/>
    <tableColumn id="6" xr3:uid="{5880345A-F990-4F8B-93A9-24D4E0047572}" uniqueName="6" name="Sales Date" queryTableFieldId="6" dataDxfId="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BFC6D4D-F0CE-4528-BC29-BA5C7EF38EC3}" name="Table6" displayName="Table6" ref="A1:F4" totalsRowShown="0" headerRowDxfId="1">
  <autoFilter ref="A1:F4" xr:uid="{0BFC6D4D-F0CE-4528-BC29-BA5C7EF38EC3}"/>
  <tableColumns count="6">
    <tableColumn id="1" xr3:uid="{35A90FFA-DBBD-4954-AF9D-5F281454DF86}" name="S no"/>
    <tableColumn id="2" xr3:uid="{70ABFDA1-6C06-4AFC-9323-24C8AB09E873}" name="Region"/>
    <tableColumn id="3" xr3:uid="{4F615FEE-A6DA-420E-856E-A497F72066BD}" name="Product"/>
    <tableColumn id="4" xr3:uid="{D5A2E0A4-67EB-40BF-8491-C54AC1CB685A}" name="Quantity"/>
    <tableColumn id="5" xr3:uid="{E2F18F9F-4318-4B73-A743-FD985079D252}" name="Unit Price"/>
    <tableColumn id="6" xr3:uid="{ABB3EC4C-D456-49D5-914E-D5FD1549E900}" name="Sales 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0FBBA-E31E-4068-92F7-D6F6EF422529}">
  <sheetPr codeName="Sheet1"/>
  <dimension ref="A1:K25"/>
  <sheetViews>
    <sheetView zoomScaleNormal="100" workbookViewId="0">
      <selection activeCell="H12" sqref="H12"/>
    </sheetView>
  </sheetViews>
  <sheetFormatPr defaultRowHeight="14.4" x14ac:dyDescent="0.3"/>
  <cols>
    <col min="1" max="1" width="25.88671875" bestFit="1" customWidth="1"/>
    <col min="2" max="2" width="19.21875" bestFit="1" customWidth="1"/>
    <col min="3" max="3" width="23" bestFit="1" customWidth="1"/>
    <col min="4" max="4" width="15.6640625" bestFit="1" customWidth="1"/>
    <col min="5" max="5" width="10.44140625" bestFit="1" customWidth="1"/>
    <col min="6" max="6" width="11.21875" bestFit="1" customWidth="1"/>
    <col min="9" max="9" width="36.6640625" bestFit="1" customWidth="1"/>
    <col min="10" max="10" width="21.33203125" bestFit="1" customWidth="1"/>
    <col min="13" max="13" width="8.88671875" customWidth="1"/>
  </cols>
  <sheetData>
    <row r="1" spans="1:11" ht="21.6" thickBot="1" x14ac:dyDescent="0.45">
      <c r="C1" s="32" t="s">
        <v>0</v>
      </c>
      <c r="D1" s="33"/>
      <c r="E1" s="33"/>
      <c r="F1" s="33"/>
      <c r="G1" s="33"/>
      <c r="H1" s="33"/>
      <c r="I1" s="33"/>
      <c r="J1" s="33"/>
      <c r="K1" s="34"/>
    </row>
    <row r="5" spans="1:11" ht="15" thickBot="1" x14ac:dyDescent="0.35"/>
    <row r="6" spans="1:11" ht="23.4" x14ac:dyDescent="0.45">
      <c r="A6" s="2" t="s">
        <v>1</v>
      </c>
      <c r="B6" s="2" t="s">
        <v>2</v>
      </c>
      <c r="C6" s="2" t="s">
        <v>3</v>
      </c>
      <c r="D6" s="2" t="s">
        <v>4</v>
      </c>
      <c r="E6" s="2" t="s">
        <v>5</v>
      </c>
      <c r="F6" s="3" t="s">
        <v>6</v>
      </c>
      <c r="I6" s="8" t="s">
        <v>1</v>
      </c>
      <c r="J6" s="9" t="s">
        <v>2</v>
      </c>
    </row>
    <row r="7" spans="1:11" ht="24" thickBot="1" x14ac:dyDescent="0.5">
      <c r="A7" s="4" t="s">
        <v>7</v>
      </c>
      <c r="B7" s="4" t="s">
        <v>8</v>
      </c>
      <c r="C7" s="4" t="s">
        <v>9</v>
      </c>
      <c r="D7" s="4" t="s">
        <v>10</v>
      </c>
      <c r="E7" s="4" t="s">
        <v>11</v>
      </c>
      <c r="F7" s="5">
        <v>3360636</v>
      </c>
      <c r="I7" s="10" t="s">
        <v>53</v>
      </c>
      <c r="J7" s="11" t="str">
        <f>VLOOKUP(I7,A7:F25,2,FALSE)</f>
        <v>Male dress</v>
      </c>
    </row>
    <row r="8" spans="1:11" ht="15.6" x14ac:dyDescent="0.3">
      <c r="A8" s="4" t="s">
        <v>12</v>
      </c>
      <c r="B8" s="4" t="s">
        <v>13</v>
      </c>
      <c r="C8" s="4" t="s">
        <v>14</v>
      </c>
      <c r="D8" s="4" t="s">
        <v>15</v>
      </c>
      <c r="E8" s="4" t="s">
        <v>11</v>
      </c>
      <c r="F8" s="5">
        <v>4645386</v>
      </c>
    </row>
    <row r="9" spans="1:11" ht="16.2" thickBot="1" x14ac:dyDescent="0.35">
      <c r="A9" s="4" t="s">
        <v>16</v>
      </c>
      <c r="B9" s="4" t="s">
        <v>13</v>
      </c>
      <c r="C9" s="4" t="s">
        <v>17</v>
      </c>
      <c r="D9" s="4" t="s">
        <v>18</v>
      </c>
      <c r="E9" s="4" t="s">
        <v>11</v>
      </c>
      <c r="F9" s="5">
        <v>1523865</v>
      </c>
    </row>
    <row r="10" spans="1:11" ht="23.4" x14ac:dyDescent="0.45">
      <c r="A10" s="4" t="s">
        <v>19</v>
      </c>
      <c r="B10" s="4" t="s">
        <v>13</v>
      </c>
      <c r="C10" s="4" t="s">
        <v>20</v>
      </c>
      <c r="D10" s="4" t="s">
        <v>21</v>
      </c>
      <c r="E10" s="4" t="s">
        <v>11</v>
      </c>
      <c r="F10" s="5">
        <v>3566605</v>
      </c>
      <c r="I10" s="8" t="s">
        <v>1</v>
      </c>
      <c r="J10" s="9" t="s">
        <v>3</v>
      </c>
    </row>
    <row r="11" spans="1:11" ht="24" thickBot="1" x14ac:dyDescent="0.5">
      <c r="A11" s="4" t="s">
        <v>22</v>
      </c>
      <c r="B11" s="4" t="s">
        <v>23</v>
      </c>
      <c r="C11" s="4" t="s">
        <v>20</v>
      </c>
      <c r="D11" s="4" t="s">
        <v>24</v>
      </c>
      <c r="E11" s="4" t="s">
        <v>11</v>
      </c>
      <c r="F11" s="5">
        <v>3745491</v>
      </c>
      <c r="I11" s="10" t="s">
        <v>22</v>
      </c>
      <c r="J11" s="11" t="str">
        <f>VLOOKUP(I11,A7:F25,3,FALSE)</f>
        <v>South</v>
      </c>
    </row>
    <row r="12" spans="1:11" ht="15.6" x14ac:dyDescent="0.3">
      <c r="A12" s="4" t="s">
        <v>25</v>
      </c>
      <c r="B12" s="4" t="s">
        <v>23</v>
      </c>
      <c r="C12" s="4" t="s">
        <v>20</v>
      </c>
      <c r="D12" s="4" t="s">
        <v>26</v>
      </c>
      <c r="E12" s="4" t="s">
        <v>11</v>
      </c>
      <c r="F12" s="5">
        <v>4064994</v>
      </c>
    </row>
    <row r="13" spans="1:11" ht="15.6" x14ac:dyDescent="0.3">
      <c r="A13" s="4" t="s">
        <v>27</v>
      </c>
      <c r="B13" s="4" t="s">
        <v>23</v>
      </c>
      <c r="C13" s="4" t="s">
        <v>14</v>
      </c>
      <c r="D13" s="4" t="s">
        <v>28</v>
      </c>
      <c r="E13" s="4" t="s">
        <v>11</v>
      </c>
      <c r="F13" s="5">
        <v>5541240</v>
      </c>
    </row>
    <row r="14" spans="1:11" ht="15.6" x14ac:dyDescent="0.3">
      <c r="A14" s="4" t="s">
        <v>29</v>
      </c>
      <c r="B14" s="4" t="s">
        <v>23</v>
      </c>
      <c r="C14" s="4" t="s">
        <v>14</v>
      </c>
      <c r="D14" s="4" t="s">
        <v>30</v>
      </c>
      <c r="E14" s="4" t="s">
        <v>11</v>
      </c>
      <c r="F14" s="5">
        <v>4966948</v>
      </c>
    </row>
    <row r="15" spans="1:11" ht="15.6" x14ac:dyDescent="0.3">
      <c r="A15" s="4" t="s">
        <v>31</v>
      </c>
      <c r="B15" s="4" t="s">
        <v>8</v>
      </c>
      <c r="C15" s="4" t="s">
        <v>9</v>
      </c>
      <c r="D15" s="4" t="s">
        <v>32</v>
      </c>
      <c r="E15" s="4" t="s">
        <v>33</v>
      </c>
      <c r="F15" s="5">
        <v>1518426</v>
      </c>
    </row>
    <row r="16" spans="1:11" ht="15.6" x14ac:dyDescent="0.3">
      <c r="A16" s="4" t="s">
        <v>34</v>
      </c>
      <c r="B16" s="4" t="s">
        <v>8</v>
      </c>
      <c r="C16" s="4" t="s">
        <v>14</v>
      </c>
      <c r="D16" s="4" t="s">
        <v>35</v>
      </c>
      <c r="E16" s="4" t="s">
        <v>33</v>
      </c>
      <c r="F16" s="5">
        <v>828548</v>
      </c>
    </row>
    <row r="17" spans="1:6" ht="15.6" x14ac:dyDescent="0.3">
      <c r="A17" s="4" t="s">
        <v>36</v>
      </c>
      <c r="B17" s="4" t="s">
        <v>8</v>
      </c>
      <c r="C17" s="4" t="s">
        <v>9</v>
      </c>
      <c r="D17" s="4" t="s">
        <v>37</v>
      </c>
      <c r="E17" s="4" t="s">
        <v>33</v>
      </c>
      <c r="F17" s="5">
        <v>2681953</v>
      </c>
    </row>
    <row r="18" spans="1:6" ht="15.6" x14ac:dyDescent="0.3">
      <c r="A18" s="4" t="s">
        <v>38</v>
      </c>
      <c r="B18" s="4" t="s">
        <v>8</v>
      </c>
      <c r="C18" s="4" t="s">
        <v>9</v>
      </c>
      <c r="D18" s="4" t="s">
        <v>39</v>
      </c>
      <c r="E18" s="4" t="s">
        <v>33</v>
      </c>
      <c r="F18" s="5">
        <v>3443532</v>
      </c>
    </row>
    <row r="19" spans="1:6" ht="15.6" x14ac:dyDescent="0.3">
      <c r="A19" s="4" t="s">
        <v>40</v>
      </c>
      <c r="B19" s="4" t="s">
        <v>8</v>
      </c>
      <c r="C19" s="4" t="s">
        <v>14</v>
      </c>
      <c r="D19" s="4" t="s">
        <v>41</v>
      </c>
      <c r="E19" s="4" t="s">
        <v>33</v>
      </c>
      <c r="F19" s="5">
        <v>3577658</v>
      </c>
    </row>
    <row r="20" spans="1:6" ht="15.6" x14ac:dyDescent="0.3">
      <c r="A20" s="4" t="s">
        <v>42</v>
      </c>
      <c r="B20" s="4" t="s">
        <v>8</v>
      </c>
      <c r="C20" s="4" t="s">
        <v>43</v>
      </c>
      <c r="D20" s="4" t="s">
        <v>44</v>
      </c>
      <c r="E20" s="4" t="s">
        <v>33</v>
      </c>
      <c r="F20" s="5">
        <v>1276242</v>
      </c>
    </row>
    <row r="21" spans="1:6" ht="15.6" x14ac:dyDescent="0.3">
      <c r="A21" s="4" t="s">
        <v>45</v>
      </c>
      <c r="B21" s="4" t="s">
        <v>46</v>
      </c>
      <c r="C21" s="4" t="s">
        <v>14</v>
      </c>
      <c r="D21" s="4" t="s">
        <v>47</v>
      </c>
      <c r="E21" s="4" t="s">
        <v>33</v>
      </c>
      <c r="F21" s="5">
        <v>5512404</v>
      </c>
    </row>
    <row r="22" spans="1:6" ht="15.6" x14ac:dyDescent="0.3">
      <c r="A22" s="4" t="s">
        <v>48</v>
      </c>
      <c r="B22" s="4" t="s">
        <v>46</v>
      </c>
      <c r="C22" s="4" t="s">
        <v>49</v>
      </c>
      <c r="D22" s="4" t="s">
        <v>50</v>
      </c>
      <c r="E22" s="4" t="s">
        <v>33</v>
      </c>
      <c r="F22" s="5">
        <v>1984929</v>
      </c>
    </row>
    <row r="23" spans="1:6" ht="15.6" x14ac:dyDescent="0.3">
      <c r="A23" s="4" t="s">
        <v>51</v>
      </c>
      <c r="B23" s="4" t="s">
        <v>46</v>
      </c>
      <c r="C23" s="4" t="s">
        <v>43</v>
      </c>
      <c r="D23" s="4" t="s">
        <v>52</v>
      </c>
      <c r="E23" s="4" t="s">
        <v>33</v>
      </c>
      <c r="F23" s="5">
        <v>3014882</v>
      </c>
    </row>
    <row r="24" spans="1:6" ht="15.6" x14ac:dyDescent="0.3">
      <c r="A24" s="4" t="s">
        <v>53</v>
      </c>
      <c r="B24" s="4" t="s">
        <v>46</v>
      </c>
      <c r="C24" s="4" t="s">
        <v>20</v>
      </c>
      <c r="D24" s="4" t="s">
        <v>54</v>
      </c>
      <c r="E24" s="4" t="s">
        <v>33</v>
      </c>
      <c r="F24" s="5">
        <v>4510462</v>
      </c>
    </row>
    <row r="25" spans="1:6" ht="16.2" thickBot="1" x14ac:dyDescent="0.35">
      <c r="A25" s="6" t="s">
        <v>55</v>
      </c>
      <c r="B25" s="6" t="s">
        <v>46</v>
      </c>
      <c r="C25" s="6" t="s">
        <v>17</v>
      </c>
      <c r="D25" s="6" t="s">
        <v>56</v>
      </c>
      <c r="E25" s="6" t="s">
        <v>33</v>
      </c>
      <c r="F25" s="7">
        <v>5389631</v>
      </c>
    </row>
  </sheetData>
  <mergeCells count="1">
    <mergeCell ref="C1:K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42E06-A7D3-49B9-BB53-FDB2CCE7515A}">
  <sheetPr codeName="Sheet2"/>
  <dimension ref="A1:H32"/>
  <sheetViews>
    <sheetView workbookViewId="0">
      <selection sqref="A1:G10"/>
    </sheetView>
  </sheetViews>
  <sheetFormatPr defaultRowHeight="14.4" x14ac:dyDescent="0.3"/>
  <cols>
    <col min="1" max="1" width="29.21875" bestFit="1" customWidth="1"/>
    <col min="2" max="2" width="18.21875" bestFit="1" customWidth="1"/>
    <col min="3" max="3" width="19.21875" bestFit="1" customWidth="1"/>
    <col min="4" max="4" width="13.44140625" bestFit="1" customWidth="1"/>
    <col min="5" max="6" width="23.33203125" bestFit="1" customWidth="1"/>
    <col min="7" max="7" width="10.44140625" bestFit="1" customWidth="1"/>
  </cols>
  <sheetData>
    <row r="1" spans="1:8" ht="21" x14ac:dyDescent="0.3">
      <c r="A1" s="22" t="s">
        <v>1</v>
      </c>
      <c r="B1" s="22" t="s">
        <v>58</v>
      </c>
      <c r="C1" s="22" t="s">
        <v>2</v>
      </c>
      <c r="D1" s="22" t="s">
        <v>3</v>
      </c>
      <c r="E1" s="22" t="s">
        <v>4</v>
      </c>
      <c r="F1" s="22" t="s">
        <v>59</v>
      </c>
      <c r="G1" s="22" t="s">
        <v>5</v>
      </c>
    </row>
    <row r="2" spans="1:8" ht="21" x14ac:dyDescent="0.4">
      <c r="A2" s="23" t="s">
        <v>29</v>
      </c>
      <c r="B2" s="24" t="str" cm="1">
        <f t="array" ref="B2:G2">VLOOKUP(A2,Data!$B$2:$K$437,{3,4,5,6,7,8},FALSE)</f>
        <v>Women dress</v>
      </c>
      <c r="C2" s="24" t="str">
        <v>West</v>
      </c>
      <c r="D2" s="24" t="str">
        <v>Pune</v>
      </c>
      <c r="E2" s="24" t="str">
        <v>Maharashtra</v>
      </c>
      <c r="F2" s="24" t="str">
        <v>Male</v>
      </c>
      <c r="G2" s="24">
        <v>6694</v>
      </c>
      <c r="H2" s="24"/>
    </row>
    <row r="3" spans="1:8" ht="21" x14ac:dyDescent="0.4">
      <c r="A3" s="23" t="s">
        <v>175</v>
      </c>
      <c r="B3" s="24" t="str" cm="1">
        <f t="array" ref="B3:G3">VLOOKUP(A3,Data!$B$2:$K$437,{3,4,5,6,7,8},FALSE)</f>
        <v>Suit</v>
      </c>
      <c r="C3" s="24" t="str">
        <v>South</v>
      </c>
      <c r="D3" s="24" t="str">
        <v>Chennai</v>
      </c>
      <c r="E3" s="24" t="str">
        <v>Tamil Nadu</v>
      </c>
      <c r="F3" s="24" t="str">
        <v>Female</v>
      </c>
      <c r="G3" s="24">
        <v>8048</v>
      </c>
      <c r="H3" s="24"/>
    </row>
    <row r="4" spans="1:8" ht="21" x14ac:dyDescent="0.4">
      <c r="A4" s="23" t="s">
        <v>268</v>
      </c>
      <c r="B4" s="24" t="str" cm="1">
        <f t="array" ref="B4:G4">VLOOKUP(A4,Data!$B$2:$K$437,{3,4,5,6,7,8},FALSE)</f>
        <v>Suit</v>
      </c>
      <c r="C4" s="24" t="str">
        <v>Central</v>
      </c>
      <c r="D4" s="24" t="str">
        <v>Indore</v>
      </c>
      <c r="E4" s="24" t="str">
        <v>Madhya Pradesh</v>
      </c>
      <c r="F4" s="24" t="str">
        <v>Male</v>
      </c>
      <c r="G4" s="24">
        <v>4543</v>
      </c>
      <c r="H4" s="24"/>
    </row>
    <row r="5" spans="1:8" ht="21" x14ac:dyDescent="0.4">
      <c r="A5" s="23" t="s">
        <v>204</v>
      </c>
      <c r="B5" s="24" t="str" cm="1">
        <f t="array" ref="B5:G5">VLOOKUP(A5,Data!$B$2:$K$437,{3,4,5,6,7,8},FALSE)</f>
        <v>Laptop</v>
      </c>
      <c r="C5" s="24" t="str">
        <v>Northeast</v>
      </c>
      <c r="D5" s="24" t="str">
        <v>Guwahati</v>
      </c>
      <c r="E5" s="24" t="str">
        <v>Assam</v>
      </c>
      <c r="F5" s="24" t="str">
        <v>Female</v>
      </c>
      <c r="G5" s="24">
        <v>9014</v>
      </c>
      <c r="H5" s="24"/>
    </row>
    <row r="6" spans="1:8" ht="21" x14ac:dyDescent="0.4">
      <c r="A6" s="23" t="s">
        <v>415</v>
      </c>
      <c r="B6" s="24" t="str" cm="1">
        <f t="array" ref="B6:G6">VLOOKUP(A6,Data!$B$2:$K$437,{3,4,5,6,7,8},FALSE)</f>
        <v>Saree</v>
      </c>
      <c r="C6" s="24" t="str">
        <v>South</v>
      </c>
      <c r="D6" s="24" t="str">
        <v>Madurai</v>
      </c>
      <c r="E6" s="24" t="str">
        <v>Tamil Nadu</v>
      </c>
      <c r="F6" s="24" t="str">
        <v>Female</v>
      </c>
      <c r="G6" s="24">
        <v>9694</v>
      </c>
      <c r="H6" s="24"/>
    </row>
    <row r="7" spans="1:8" ht="21" x14ac:dyDescent="0.4">
      <c r="A7" s="23" t="s">
        <v>402</v>
      </c>
      <c r="B7" s="24" t="str" cm="1">
        <f t="array" ref="B7:G7">VLOOKUP(A7,Data!$B$2:$K$437,{3,4,5,6,7,8},FALSE)</f>
        <v>Laptop</v>
      </c>
      <c r="C7" s="24" t="str">
        <v>North</v>
      </c>
      <c r="D7" s="24" t="str">
        <v>Shimla</v>
      </c>
      <c r="E7" s="24" t="str">
        <v>Himachal Pradesh</v>
      </c>
      <c r="F7" s="24" t="str">
        <v>Female</v>
      </c>
      <c r="G7" s="24">
        <v>6082</v>
      </c>
      <c r="H7" s="24"/>
    </row>
    <row r="8" spans="1:8" ht="21" x14ac:dyDescent="0.4">
      <c r="A8" s="23" t="s">
        <v>77</v>
      </c>
      <c r="B8" s="24" t="str" cm="1">
        <f t="array" ref="B8:G8">VLOOKUP(A8,Data!$B$2:$K$437,{3,4,5,6,7,8},FALSE)</f>
        <v>Saree</v>
      </c>
      <c r="C8" s="24" t="str">
        <v>East</v>
      </c>
      <c r="D8" s="24" t="str">
        <v>Patna</v>
      </c>
      <c r="E8" s="24" t="str">
        <v>Bihar</v>
      </c>
      <c r="F8" s="24" t="str">
        <v>Male</v>
      </c>
      <c r="G8" s="24">
        <v>8983</v>
      </c>
      <c r="H8" s="24"/>
    </row>
    <row r="9" spans="1:8" ht="21" x14ac:dyDescent="0.4">
      <c r="A9" s="23" t="s">
        <v>159</v>
      </c>
      <c r="B9" s="24" t="str" cm="1">
        <f t="array" ref="B9:G9">VLOOKUP(A9,Data!$B$2:$K$437,{3,4,5,6,7,8},FALSE)</f>
        <v>Suit</v>
      </c>
      <c r="C9" s="24" t="str">
        <v>North</v>
      </c>
      <c r="D9" s="24" t="str">
        <v>Dehradun</v>
      </c>
      <c r="E9" s="24" t="str">
        <v>Uttarakhand</v>
      </c>
      <c r="F9" s="24" t="str">
        <v>Female</v>
      </c>
      <c r="G9" s="24">
        <v>3490</v>
      </c>
      <c r="H9" s="24"/>
    </row>
    <row r="10" spans="1:8" ht="21" x14ac:dyDescent="0.4">
      <c r="A10" s="23" t="s">
        <v>79</v>
      </c>
      <c r="B10" s="24" t="str" cm="1">
        <f t="array" ref="B10:G10">VLOOKUP(A10,Data!$B$2:$K$437,{3,4,5,6,7,8},FALSE)</f>
        <v>Saree</v>
      </c>
      <c r="C10" s="24" t="str">
        <v>West</v>
      </c>
      <c r="D10" s="24" t="str">
        <v>Vadodara</v>
      </c>
      <c r="E10" s="24" t="str">
        <v>Gujarat</v>
      </c>
      <c r="F10" s="24" t="str">
        <v>Male</v>
      </c>
      <c r="G10" s="24">
        <v>6892</v>
      </c>
      <c r="H10" s="24"/>
    </row>
    <row r="22" spans="1:7" ht="21" x14ac:dyDescent="0.3">
      <c r="A22" s="22" t="s">
        <v>1</v>
      </c>
      <c r="B22" s="22" t="s">
        <v>58</v>
      </c>
      <c r="C22" s="22" t="s">
        <v>2</v>
      </c>
      <c r="D22" s="22" t="s">
        <v>3</v>
      </c>
      <c r="E22" s="22" t="s">
        <v>4</v>
      </c>
      <c r="F22" s="22" t="s">
        <v>59</v>
      </c>
      <c r="G22" s="22" t="s">
        <v>5</v>
      </c>
    </row>
    <row r="23" spans="1:7" ht="21" x14ac:dyDescent="0.4">
      <c r="A23" s="23" t="s">
        <v>29</v>
      </c>
      <c r="B23" s="24" t="str">
        <f>VLOOKUP($A23,CHOOSE({1,2},Data!$B$2:$B$437,Data!$A$2:$A$437),2,FALSE)</f>
        <v xml:space="preserve">Fashion </v>
      </c>
      <c r="C23" s="24" t="str" cm="1">
        <f t="array" ref="C23:G23">VLOOKUP($A23,Data!$B$2:$K$437,{3,4,5,6,7},FALSE)</f>
        <v>Women dress</v>
      </c>
      <c r="D23" s="24" t="str">
        <v>West</v>
      </c>
      <c r="E23" s="24" t="str">
        <v>Pune</v>
      </c>
      <c r="F23" s="24" t="str">
        <v>Maharashtra</v>
      </c>
      <c r="G23" s="24" t="str">
        <v>Male</v>
      </c>
    </row>
    <row r="24" spans="1:7" ht="21" x14ac:dyDescent="0.4">
      <c r="A24" s="23" t="s">
        <v>175</v>
      </c>
      <c r="B24" s="24" t="str">
        <f>VLOOKUP($A24,CHOOSE({1,2},Data!$B$2:$B$437,Data!$A$2:$A$437),2,FALSE)</f>
        <v xml:space="preserve">Fashion </v>
      </c>
      <c r="C24" s="24" t="str" cm="1">
        <f t="array" ref="C24:G24">VLOOKUP($A24,Data!$B$2:$K$437,{3,4,5,6,7},FALSE)</f>
        <v>Suit</v>
      </c>
      <c r="D24" s="24" t="str">
        <v>South</v>
      </c>
      <c r="E24" s="24" t="str">
        <v>Chennai</v>
      </c>
      <c r="F24" s="24" t="str">
        <v>Tamil Nadu</v>
      </c>
      <c r="G24" s="24" t="str">
        <v>Female</v>
      </c>
    </row>
    <row r="25" spans="1:7" ht="21" x14ac:dyDescent="0.4">
      <c r="A25" s="23" t="s">
        <v>268</v>
      </c>
      <c r="B25" s="24" t="str">
        <f>VLOOKUP($A25,CHOOSE({1,2},Data!$B$2:$B$437,Data!$A$2:$A$437),2,FALSE)</f>
        <v xml:space="preserve">Fashion </v>
      </c>
      <c r="C25" s="24" t="str" cm="1">
        <f t="array" ref="C25:G25">VLOOKUP($A25,Data!$B$2:$K$437,{3,4,5,6,7},FALSE)</f>
        <v>Suit</v>
      </c>
      <c r="D25" s="24" t="str">
        <v>Central</v>
      </c>
      <c r="E25" s="24" t="str">
        <v>Indore</v>
      </c>
      <c r="F25" s="24" t="str">
        <v>Madhya Pradesh</v>
      </c>
      <c r="G25" s="24" t="str">
        <v>Male</v>
      </c>
    </row>
    <row r="26" spans="1:7" ht="21" x14ac:dyDescent="0.4">
      <c r="A26" s="23" t="s">
        <v>204</v>
      </c>
      <c r="B26" s="24" t="str">
        <f>VLOOKUP($A26,CHOOSE({1,2},Data!$B$2:$B$437,Data!$A$2:$A$437),2,FALSE)</f>
        <v>Electronic</v>
      </c>
      <c r="C26" s="24" t="str" cm="1">
        <f t="array" ref="C26:G26">VLOOKUP($A26,Data!$B$2:$K$437,{3,4,5,6,7},FALSE)</f>
        <v>Laptop</v>
      </c>
      <c r="D26" s="24" t="str">
        <v>Northeast</v>
      </c>
      <c r="E26" s="24" t="str">
        <v>Guwahati</v>
      </c>
      <c r="F26" s="24" t="str">
        <v>Assam</v>
      </c>
      <c r="G26" s="24" t="str">
        <v>Female</v>
      </c>
    </row>
    <row r="27" spans="1:7" ht="21" x14ac:dyDescent="0.4">
      <c r="A27" s="23" t="s">
        <v>415</v>
      </c>
      <c r="B27" s="24" t="str">
        <f>VLOOKUP($A27,CHOOSE({1,2},Data!$B$2:$B$437,Data!$A$2:$A$437),2,FALSE)</f>
        <v xml:space="preserve">Fashion </v>
      </c>
      <c r="C27" s="24" t="str" cm="1">
        <f t="array" ref="C27:G27">VLOOKUP($A27,Data!$B$2:$K$437,{3,4,5,6,7},FALSE)</f>
        <v>Saree</v>
      </c>
      <c r="D27" s="24" t="str">
        <v>South</v>
      </c>
      <c r="E27" s="24" t="str">
        <v>Madurai</v>
      </c>
      <c r="F27" s="24" t="str">
        <v>Tamil Nadu</v>
      </c>
      <c r="G27" s="24" t="str">
        <v>Female</v>
      </c>
    </row>
    <row r="28" spans="1:7" ht="21" x14ac:dyDescent="0.4">
      <c r="A28" s="23" t="s">
        <v>402</v>
      </c>
      <c r="B28" s="24" t="str">
        <f>VLOOKUP($A28,CHOOSE({1,2},Data!$B$2:$B$437,Data!$A$2:$A$437),2,FALSE)</f>
        <v>Electronic</v>
      </c>
      <c r="C28" s="24" t="str" cm="1">
        <f t="array" ref="C28:G28">VLOOKUP($A28,Data!$B$2:$K$437,{3,4,5,6,7},FALSE)</f>
        <v>Laptop</v>
      </c>
      <c r="D28" s="24" t="str">
        <v>North</v>
      </c>
      <c r="E28" s="24" t="str">
        <v>Shimla</v>
      </c>
      <c r="F28" s="24" t="str">
        <v>Himachal Pradesh</v>
      </c>
      <c r="G28" s="24" t="str">
        <v>Female</v>
      </c>
    </row>
    <row r="29" spans="1:7" ht="21" x14ac:dyDescent="0.4">
      <c r="A29" s="23" t="s">
        <v>77</v>
      </c>
      <c r="B29" s="24" t="str">
        <f>VLOOKUP($A29,CHOOSE({1,2},Data!$B$2:$B$437,Data!$A$2:$A$437),2,FALSE)</f>
        <v xml:space="preserve">Fashion </v>
      </c>
      <c r="C29" s="24" t="str" cm="1">
        <f t="array" ref="C29:G29">VLOOKUP($A29,Data!$B$2:$K$437,{3,4,5,6,7},FALSE)</f>
        <v>Saree</v>
      </c>
      <c r="D29" s="24" t="str">
        <v>East</v>
      </c>
      <c r="E29" s="24" t="str">
        <v>Patna</v>
      </c>
      <c r="F29" s="24" t="str">
        <v>Bihar</v>
      </c>
      <c r="G29" s="24" t="str">
        <v>Male</v>
      </c>
    </row>
    <row r="30" spans="1:7" ht="21" x14ac:dyDescent="0.4">
      <c r="A30" s="23" t="s">
        <v>159</v>
      </c>
      <c r="B30" s="24" t="str">
        <f>VLOOKUP($A30,CHOOSE({1,2},Data!$B$2:$B$437,Data!$A$2:$A$437),2,FALSE)</f>
        <v xml:space="preserve">Fashion </v>
      </c>
      <c r="C30" s="24" t="str" cm="1">
        <f t="array" ref="C30:G30">VLOOKUP($A30,Data!$B$2:$K$437,{3,4,5,6,7},FALSE)</f>
        <v>Suit</v>
      </c>
      <c r="D30" s="24" t="str">
        <v>North</v>
      </c>
      <c r="E30" s="24" t="str">
        <v>Dehradun</v>
      </c>
      <c r="F30" s="24" t="str">
        <v>Uttarakhand</v>
      </c>
      <c r="G30" s="24" t="str">
        <v>Female</v>
      </c>
    </row>
    <row r="31" spans="1:7" ht="21" x14ac:dyDescent="0.4">
      <c r="A31" s="23" t="s">
        <v>79</v>
      </c>
      <c r="B31" s="24" t="str">
        <f>VLOOKUP($A31,CHOOSE({1,2},Data!$B$2:$B$437,Data!$A$2:$A$437),2,FALSE)</f>
        <v xml:space="preserve">Fashion </v>
      </c>
      <c r="C31" s="24" t="str" cm="1">
        <f t="array" ref="C31:G31">VLOOKUP($A31,Data!$B$2:$K$437,{3,4,5,6,7},FALSE)</f>
        <v>Saree</v>
      </c>
      <c r="D31" s="24" t="str">
        <v>West</v>
      </c>
      <c r="E31" s="24" t="str">
        <v>Vadodara</v>
      </c>
      <c r="F31" s="24" t="str">
        <v>Gujarat</v>
      </c>
      <c r="G31" s="24" t="str">
        <v>Male</v>
      </c>
    </row>
    <row r="32" spans="1:7" ht="21" x14ac:dyDescent="0.4">
      <c r="C32" s="24" t="e" cm="1">
        <f t="array" ref="C32">VLOOKUP($A32,Data!$B$2:$K$437,{3,4,5,6,7},FALSE)</f>
        <v>#N/A</v>
      </c>
      <c r="D32" s="24"/>
      <c r="E32" s="24"/>
      <c r="F32" s="24"/>
      <c r="G32" s="2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4CD76-F840-4D34-8090-2604B0E0A6FB}">
  <sheetPr codeName="Sheet3"/>
  <dimension ref="A1:K437"/>
  <sheetViews>
    <sheetView topLeftCell="A172" workbookViewId="0">
      <selection activeCell="N13" sqref="N13"/>
    </sheetView>
  </sheetViews>
  <sheetFormatPr defaultRowHeight="14.4" x14ac:dyDescent="0.3"/>
  <cols>
    <col min="1" max="1" width="12.44140625" bestFit="1" customWidth="1"/>
    <col min="2" max="2" width="26.6640625" bestFit="1" customWidth="1"/>
    <col min="3" max="3" width="12.44140625" bestFit="1" customWidth="1"/>
    <col min="4" max="4" width="19.21875" bestFit="1" customWidth="1"/>
    <col min="5" max="5" width="20.6640625" bestFit="1" customWidth="1"/>
    <col min="6" max="6" width="14.21875" bestFit="1" customWidth="1"/>
    <col min="8" max="8" width="10.44140625" bestFit="1" customWidth="1"/>
    <col min="9" max="9" width="12.109375" bestFit="1" customWidth="1"/>
    <col min="10" max="10" width="6.88671875" bestFit="1" customWidth="1"/>
  </cols>
  <sheetData>
    <row r="1" spans="1:11" ht="21" x14ac:dyDescent="0.3">
      <c r="A1" s="13" t="s">
        <v>58</v>
      </c>
      <c r="B1" s="1" t="s">
        <v>1</v>
      </c>
      <c r="C1" s="12" t="s">
        <v>57</v>
      </c>
      <c r="D1" s="13" t="s">
        <v>2</v>
      </c>
      <c r="E1" s="13" t="s">
        <v>3</v>
      </c>
      <c r="F1" s="13" t="s">
        <v>4</v>
      </c>
      <c r="G1" s="13" t="s">
        <v>59</v>
      </c>
      <c r="H1" s="13" t="s">
        <v>5</v>
      </c>
      <c r="I1" s="13" t="s">
        <v>60</v>
      </c>
      <c r="J1" s="13" t="s">
        <v>61</v>
      </c>
      <c r="K1" s="14" t="s">
        <v>6</v>
      </c>
    </row>
    <row r="2" spans="1:11" x14ac:dyDescent="0.3">
      <c r="A2" s="17" t="s">
        <v>63</v>
      </c>
      <c r="B2" s="15" t="s">
        <v>7</v>
      </c>
      <c r="C2" s="16" t="s">
        <v>62</v>
      </c>
      <c r="D2" s="17" t="s">
        <v>8</v>
      </c>
      <c r="E2" s="17" t="s">
        <v>9</v>
      </c>
      <c r="F2" s="17" t="s">
        <v>10</v>
      </c>
      <c r="G2" s="17" t="s">
        <v>10</v>
      </c>
      <c r="H2" s="17" t="s">
        <v>11</v>
      </c>
      <c r="I2" s="17">
        <v>4292</v>
      </c>
      <c r="J2" s="17">
        <v>783</v>
      </c>
      <c r="K2" s="18">
        <v>3360636</v>
      </c>
    </row>
    <row r="3" spans="1:11" x14ac:dyDescent="0.3">
      <c r="A3" s="17" t="s">
        <v>63</v>
      </c>
      <c r="B3" s="15" t="s">
        <v>12</v>
      </c>
      <c r="C3" s="16" t="s">
        <v>62</v>
      </c>
      <c r="D3" s="17" t="s">
        <v>13</v>
      </c>
      <c r="E3" s="17" t="s">
        <v>14</v>
      </c>
      <c r="F3" s="17" t="s">
        <v>15</v>
      </c>
      <c r="G3" s="17" t="s">
        <v>64</v>
      </c>
      <c r="H3" s="17" t="s">
        <v>11</v>
      </c>
      <c r="I3" s="17">
        <v>8037</v>
      </c>
      <c r="J3" s="17">
        <v>578</v>
      </c>
      <c r="K3" s="18">
        <v>4645386</v>
      </c>
    </row>
    <row r="4" spans="1:11" x14ac:dyDescent="0.3">
      <c r="A4" s="17" t="s">
        <v>63</v>
      </c>
      <c r="B4" s="15" t="s">
        <v>16</v>
      </c>
      <c r="C4" s="16" t="s">
        <v>62</v>
      </c>
      <c r="D4" s="17" t="s">
        <v>13</v>
      </c>
      <c r="E4" s="17" t="s">
        <v>17</v>
      </c>
      <c r="F4" s="17" t="s">
        <v>18</v>
      </c>
      <c r="G4" s="17" t="s">
        <v>65</v>
      </c>
      <c r="H4" s="17" t="s">
        <v>11</v>
      </c>
      <c r="I4" s="17">
        <v>2415</v>
      </c>
      <c r="J4" s="17">
        <v>631</v>
      </c>
      <c r="K4" s="18">
        <v>1523865</v>
      </c>
    </row>
    <row r="5" spans="1:11" x14ac:dyDescent="0.3">
      <c r="A5" s="17" t="s">
        <v>63</v>
      </c>
      <c r="B5" s="15" t="s">
        <v>19</v>
      </c>
      <c r="C5" s="16" t="s">
        <v>62</v>
      </c>
      <c r="D5" s="17" t="s">
        <v>13</v>
      </c>
      <c r="E5" s="17" t="s">
        <v>20</v>
      </c>
      <c r="F5" s="17" t="s">
        <v>21</v>
      </c>
      <c r="G5" s="17" t="s">
        <v>66</v>
      </c>
      <c r="H5" s="17" t="s">
        <v>11</v>
      </c>
      <c r="I5" s="17">
        <v>3941</v>
      </c>
      <c r="J5" s="17">
        <v>905</v>
      </c>
      <c r="K5" s="18">
        <v>3566605</v>
      </c>
    </row>
    <row r="6" spans="1:11" x14ac:dyDescent="0.3">
      <c r="A6" s="17" t="s">
        <v>67</v>
      </c>
      <c r="B6" s="15" t="s">
        <v>22</v>
      </c>
      <c r="C6" s="16" t="s">
        <v>62</v>
      </c>
      <c r="D6" s="17" t="s">
        <v>23</v>
      </c>
      <c r="E6" s="17" t="s">
        <v>20</v>
      </c>
      <c r="F6" s="17" t="s">
        <v>24</v>
      </c>
      <c r="G6" s="17" t="s">
        <v>68</v>
      </c>
      <c r="H6" s="17" t="s">
        <v>11</v>
      </c>
      <c r="I6" s="17">
        <v>4607</v>
      </c>
      <c r="J6" s="17">
        <v>813</v>
      </c>
      <c r="K6" s="18">
        <v>3745491</v>
      </c>
    </row>
    <row r="7" spans="1:11" x14ac:dyDescent="0.3">
      <c r="A7" s="17" t="s">
        <v>67</v>
      </c>
      <c r="B7" s="15" t="s">
        <v>25</v>
      </c>
      <c r="C7" s="16" t="s">
        <v>62</v>
      </c>
      <c r="D7" s="17" t="s">
        <v>23</v>
      </c>
      <c r="E7" s="17" t="s">
        <v>20</v>
      </c>
      <c r="F7" s="17" t="s">
        <v>26</v>
      </c>
      <c r="G7" s="17" t="s">
        <v>69</v>
      </c>
      <c r="H7" s="17" t="s">
        <v>11</v>
      </c>
      <c r="I7" s="17">
        <v>4261</v>
      </c>
      <c r="J7" s="17">
        <v>954</v>
      </c>
      <c r="K7" s="18">
        <v>4064994</v>
      </c>
    </row>
    <row r="8" spans="1:11" x14ac:dyDescent="0.3">
      <c r="A8" s="17" t="s">
        <v>67</v>
      </c>
      <c r="B8" s="15" t="s">
        <v>27</v>
      </c>
      <c r="C8" s="16" t="s">
        <v>62</v>
      </c>
      <c r="D8" s="17" t="s">
        <v>23</v>
      </c>
      <c r="E8" s="17" t="s">
        <v>14</v>
      </c>
      <c r="F8" s="17" t="s">
        <v>28</v>
      </c>
      <c r="G8" s="17" t="s">
        <v>70</v>
      </c>
      <c r="H8" s="17" t="s">
        <v>11</v>
      </c>
      <c r="I8" s="17">
        <v>9084</v>
      </c>
      <c r="J8" s="17">
        <v>610</v>
      </c>
      <c r="K8" s="18">
        <v>5541240</v>
      </c>
    </row>
    <row r="9" spans="1:11" x14ac:dyDescent="0.3">
      <c r="A9" s="17" t="s">
        <v>67</v>
      </c>
      <c r="B9" s="15" t="s">
        <v>71</v>
      </c>
      <c r="C9" s="16" t="s">
        <v>62</v>
      </c>
      <c r="D9" s="17" t="s">
        <v>72</v>
      </c>
      <c r="E9" s="17" t="s">
        <v>49</v>
      </c>
      <c r="F9" s="17" t="s">
        <v>50</v>
      </c>
      <c r="G9" s="17" t="s">
        <v>50</v>
      </c>
      <c r="H9" s="17" t="s">
        <v>33</v>
      </c>
      <c r="I9" s="17">
        <v>9102</v>
      </c>
      <c r="J9" s="17">
        <v>894</v>
      </c>
      <c r="K9" s="18">
        <v>8137188</v>
      </c>
    </row>
    <row r="10" spans="1:11" x14ac:dyDescent="0.3">
      <c r="A10" s="17" t="s">
        <v>67</v>
      </c>
      <c r="B10" s="15" t="s">
        <v>73</v>
      </c>
      <c r="C10" s="16" t="s">
        <v>62</v>
      </c>
      <c r="D10" s="17" t="s">
        <v>72</v>
      </c>
      <c r="E10" s="17" t="s">
        <v>43</v>
      </c>
      <c r="F10" s="17" t="s">
        <v>52</v>
      </c>
      <c r="G10" s="17" t="s">
        <v>74</v>
      </c>
      <c r="H10" s="17" t="s">
        <v>33</v>
      </c>
      <c r="I10" s="17">
        <v>3887</v>
      </c>
      <c r="J10" s="17">
        <v>912</v>
      </c>
      <c r="K10" s="18">
        <v>3544944</v>
      </c>
    </row>
    <row r="11" spans="1:11" x14ac:dyDescent="0.3">
      <c r="A11" s="17" t="s">
        <v>67</v>
      </c>
      <c r="B11" s="15" t="s">
        <v>75</v>
      </c>
      <c r="C11" s="16" t="s">
        <v>62</v>
      </c>
      <c r="D11" s="17" t="s">
        <v>72</v>
      </c>
      <c r="E11" s="17" t="s">
        <v>20</v>
      </c>
      <c r="F11" s="17" t="s">
        <v>54</v>
      </c>
      <c r="G11" s="17" t="s">
        <v>76</v>
      </c>
      <c r="H11" s="17" t="s">
        <v>11</v>
      </c>
      <c r="I11" s="17">
        <v>9519</v>
      </c>
      <c r="J11" s="17">
        <v>970</v>
      </c>
      <c r="K11" s="18">
        <v>9233430</v>
      </c>
    </row>
    <row r="12" spans="1:11" x14ac:dyDescent="0.3">
      <c r="A12" s="17" t="s">
        <v>67</v>
      </c>
      <c r="B12" s="15" t="s">
        <v>77</v>
      </c>
      <c r="C12" s="16" t="s">
        <v>62</v>
      </c>
      <c r="D12" s="17" t="s">
        <v>72</v>
      </c>
      <c r="E12" s="17" t="s">
        <v>17</v>
      </c>
      <c r="F12" s="17" t="s">
        <v>56</v>
      </c>
      <c r="G12" s="17" t="s">
        <v>78</v>
      </c>
      <c r="H12" s="17" t="s">
        <v>11</v>
      </c>
      <c r="I12" s="17">
        <v>8983</v>
      </c>
      <c r="J12" s="17">
        <v>840</v>
      </c>
      <c r="K12" s="18">
        <v>7545720</v>
      </c>
    </row>
    <row r="13" spans="1:11" x14ac:dyDescent="0.3">
      <c r="A13" s="17" t="s">
        <v>67</v>
      </c>
      <c r="B13" s="15" t="s">
        <v>79</v>
      </c>
      <c r="C13" s="16" t="s">
        <v>62</v>
      </c>
      <c r="D13" s="17" t="s">
        <v>72</v>
      </c>
      <c r="E13" s="17" t="s">
        <v>14</v>
      </c>
      <c r="F13" s="17" t="s">
        <v>80</v>
      </c>
      <c r="G13" s="17" t="s">
        <v>70</v>
      </c>
      <c r="H13" s="17" t="s">
        <v>11</v>
      </c>
      <c r="I13" s="17">
        <v>6892</v>
      </c>
      <c r="J13" s="17">
        <v>643</v>
      </c>
      <c r="K13" s="18">
        <v>4431556</v>
      </c>
    </row>
    <row r="14" spans="1:11" x14ac:dyDescent="0.3">
      <c r="A14" s="17" t="s">
        <v>67</v>
      </c>
      <c r="B14" s="15" t="s">
        <v>81</v>
      </c>
      <c r="C14" s="16" t="s">
        <v>62</v>
      </c>
      <c r="D14" s="17" t="s">
        <v>82</v>
      </c>
      <c r="E14" s="17" t="s">
        <v>9</v>
      </c>
      <c r="F14" s="17" t="s">
        <v>83</v>
      </c>
      <c r="G14" s="17" t="s">
        <v>84</v>
      </c>
      <c r="H14" s="17" t="s">
        <v>11</v>
      </c>
      <c r="I14" s="17">
        <v>6946</v>
      </c>
      <c r="J14" s="17">
        <v>882</v>
      </c>
      <c r="K14" s="18">
        <v>6126372</v>
      </c>
    </row>
    <row r="15" spans="1:11" x14ac:dyDescent="0.3">
      <c r="A15" s="17" t="s">
        <v>67</v>
      </c>
      <c r="B15" s="15" t="s">
        <v>85</v>
      </c>
      <c r="C15" s="16" t="s">
        <v>62</v>
      </c>
      <c r="D15" s="17" t="s">
        <v>82</v>
      </c>
      <c r="E15" s="17" t="s">
        <v>9</v>
      </c>
      <c r="F15" s="17" t="s">
        <v>86</v>
      </c>
      <c r="G15" s="17" t="s">
        <v>84</v>
      </c>
      <c r="H15" s="17" t="s">
        <v>33</v>
      </c>
      <c r="I15" s="17">
        <v>8990</v>
      </c>
      <c r="J15" s="17">
        <v>666</v>
      </c>
      <c r="K15" s="18">
        <v>5987340</v>
      </c>
    </row>
    <row r="16" spans="1:11" x14ac:dyDescent="0.3">
      <c r="A16" s="17" t="s">
        <v>67</v>
      </c>
      <c r="B16" s="15" t="s">
        <v>87</v>
      </c>
      <c r="C16" s="16" t="s">
        <v>62</v>
      </c>
      <c r="D16" s="17" t="s">
        <v>82</v>
      </c>
      <c r="E16" s="17" t="s">
        <v>20</v>
      </c>
      <c r="F16" s="17" t="s">
        <v>88</v>
      </c>
      <c r="G16" s="17" t="s">
        <v>66</v>
      </c>
      <c r="H16" s="17" t="s">
        <v>11</v>
      </c>
      <c r="I16" s="17">
        <v>5594</v>
      </c>
      <c r="J16" s="17">
        <v>615</v>
      </c>
      <c r="K16" s="18">
        <v>3440310</v>
      </c>
    </row>
    <row r="17" spans="1:11" x14ac:dyDescent="0.3">
      <c r="A17" s="17" t="s">
        <v>67</v>
      </c>
      <c r="B17" s="15" t="s">
        <v>89</v>
      </c>
      <c r="C17" s="16" t="s">
        <v>62</v>
      </c>
      <c r="D17" s="17" t="s">
        <v>82</v>
      </c>
      <c r="E17" s="17" t="s">
        <v>20</v>
      </c>
      <c r="F17" s="17" t="s">
        <v>90</v>
      </c>
      <c r="G17" s="17" t="s">
        <v>66</v>
      </c>
      <c r="H17" s="17" t="s">
        <v>11</v>
      </c>
      <c r="I17" s="17">
        <v>5491</v>
      </c>
      <c r="J17" s="17">
        <v>601</v>
      </c>
      <c r="K17" s="18">
        <v>3300091</v>
      </c>
    </row>
    <row r="18" spans="1:11" x14ac:dyDescent="0.3">
      <c r="A18" s="17" t="s">
        <v>67</v>
      </c>
      <c r="B18" s="15" t="s">
        <v>91</v>
      </c>
      <c r="C18" s="16" t="s">
        <v>62</v>
      </c>
      <c r="D18" s="17" t="s">
        <v>82</v>
      </c>
      <c r="E18" s="17" t="s">
        <v>9</v>
      </c>
      <c r="F18" s="17" t="s">
        <v>92</v>
      </c>
      <c r="G18" s="17" t="s">
        <v>93</v>
      </c>
      <c r="H18" s="17" t="s">
        <v>11</v>
      </c>
      <c r="I18" s="17">
        <v>7225</v>
      </c>
      <c r="J18" s="17">
        <v>711</v>
      </c>
      <c r="K18" s="18">
        <v>5136975</v>
      </c>
    </row>
    <row r="19" spans="1:11" x14ac:dyDescent="0.3">
      <c r="A19" s="17" t="s">
        <v>67</v>
      </c>
      <c r="B19" s="15" t="s">
        <v>94</v>
      </c>
      <c r="C19" s="16" t="s">
        <v>62</v>
      </c>
      <c r="D19" s="17" t="s">
        <v>82</v>
      </c>
      <c r="E19" s="17" t="s">
        <v>9</v>
      </c>
      <c r="F19" s="17" t="s">
        <v>95</v>
      </c>
      <c r="G19" s="17" t="s">
        <v>84</v>
      </c>
      <c r="H19" s="17" t="s">
        <v>11</v>
      </c>
      <c r="I19" s="17">
        <v>2966</v>
      </c>
      <c r="J19" s="17">
        <v>977</v>
      </c>
      <c r="K19" s="18">
        <v>2897782</v>
      </c>
    </row>
    <row r="20" spans="1:11" x14ac:dyDescent="0.3">
      <c r="A20" s="17" t="s">
        <v>67</v>
      </c>
      <c r="B20" s="15" t="s">
        <v>96</v>
      </c>
      <c r="C20" s="16" t="s">
        <v>62</v>
      </c>
      <c r="D20" s="17" t="s">
        <v>82</v>
      </c>
      <c r="E20" s="17" t="s">
        <v>17</v>
      </c>
      <c r="F20" s="17" t="s">
        <v>97</v>
      </c>
      <c r="G20" s="17" t="s">
        <v>98</v>
      </c>
      <c r="H20" s="17" t="s">
        <v>33</v>
      </c>
      <c r="I20" s="17">
        <v>2421</v>
      </c>
      <c r="J20" s="17">
        <v>765</v>
      </c>
      <c r="K20" s="18">
        <v>1852065</v>
      </c>
    </row>
    <row r="21" spans="1:11" x14ac:dyDescent="0.3">
      <c r="A21" s="17" t="s">
        <v>67</v>
      </c>
      <c r="B21" s="15" t="s">
        <v>29</v>
      </c>
      <c r="C21" s="16" t="s">
        <v>62</v>
      </c>
      <c r="D21" s="17" t="s">
        <v>23</v>
      </c>
      <c r="E21" s="17" t="s">
        <v>14</v>
      </c>
      <c r="F21" s="17" t="s">
        <v>30</v>
      </c>
      <c r="G21" s="17" t="s">
        <v>64</v>
      </c>
      <c r="H21" s="17" t="s">
        <v>11</v>
      </c>
      <c r="I21" s="17">
        <v>6694</v>
      </c>
      <c r="J21" s="17">
        <v>742</v>
      </c>
      <c r="K21" s="18">
        <v>4966948</v>
      </c>
    </row>
    <row r="22" spans="1:11" x14ac:dyDescent="0.3">
      <c r="A22" s="17" t="s">
        <v>63</v>
      </c>
      <c r="B22" s="15" t="s">
        <v>31</v>
      </c>
      <c r="C22" s="16" t="s">
        <v>62</v>
      </c>
      <c r="D22" s="17" t="s">
        <v>8</v>
      </c>
      <c r="E22" s="17" t="s">
        <v>9</v>
      </c>
      <c r="F22" s="17" t="s">
        <v>32</v>
      </c>
      <c r="G22" s="17" t="s">
        <v>93</v>
      </c>
      <c r="H22" s="17" t="s">
        <v>33</v>
      </c>
      <c r="I22" s="17">
        <v>2678</v>
      </c>
      <c r="J22" s="17">
        <v>567</v>
      </c>
      <c r="K22" s="18">
        <v>1518426</v>
      </c>
    </row>
    <row r="23" spans="1:11" x14ac:dyDescent="0.3">
      <c r="A23" s="17" t="s">
        <v>63</v>
      </c>
      <c r="B23" s="15" t="s">
        <v>34</v>
      </c>
      <c r="C23" s="16" t="s">
        <v>99</v>
      </c>
      <c r="D23" s="17" t="s">
        <v>8</v>
      </c>
      <c r="E23" s="17" t="s">
        <v>14</v>
      </c>
      <c r="F23" s="17" t="s">
        <v>35</v>
      </c>
      <c r="G23" s="17" t="s">
        <v>70</v>
      </c>
      <c r="H23" s="17" t="s">
        <v>33</v>
      </c>
      <c r="I23" s="17">
        <v>1631</v>
      </c>
      <c r="J23" s="17">
        <v>508</v>
      </c>
      <c r="K23" s="18">
        <v>828548</v>
      </c>
    </row>
    <row r="24" spans="1:11" x14ac:dyDescent="0.3">
      <c r="A24" s="17" t="s">
        <v>63</v>
      </c>
      <c r="B24" s="15" t="s">
        <v>36</v>
      </c>
      <c r="C24" s="16" t="s">
        <v>99</v>
      </c>
      <c r="D24" s="17" t="s">
        <v>8</v>
      </c>
      <c r="E24" s="17" t="s">
        <v>9</v>
      </c>
      <c r="F24" s="17" t="s">
        <v>37</v>
      </c>
      <c r="G24" s="17" t="s">
        <v>84</v>
      </c>
      <c r="H24" s="17" t="s">
        <v>33</v>
      </c>
      <c r="I24" s="17">
        <v>4171</v>
      </c>
      <c r="J24" s="17">
        <v>643</v>
      </c>
      <c r="K24" s="18">
        <v>2681953</v>
      </c>
    </row>
    <row r="25" spans="1:11" x14ac:dyDescent="0.3">
      <c r="A25" s="17" t="s">
        <v>63</v>
      </c>
      <c r="B25" s="15" t="s">
        <v>38</v>
      </c>
      <c r="C25" s="16" t="s">
        <v>99</v>
      </c>
      <c r="D25" s="17" t="s">
        <v>8</v>
      </c>
      <c r="E25" s="17" t="s">
        <v>9</v>
      </c>
      <c r="F25" s="17" t="s">
        <v>39</v>
      </c>
      <c r="G25" s="17" t="s">
        <v>84</v>
      </c>
      <c r="H25" s="17" t="s">
        <v>33</v>
      </c>
      <c r="I25" s="17">
        <v>4283</v>
      </c>
      <c r="J25" s="17">
        <v>804</v>
      </c>
      <c r="K25" s="18">
        <v>3443532</v>
      </c>
    </row>
    <row r="26" spans="1:11" x14ac:dyDescent="0.3">
      <c r="A26" s="17" t="s">
        <v>63</v>
      </c>
      <c r="B26" s="15" t="s">
        <v>40</v>
      </c>
      <c r="C26" s="16" t="s">
        <v>99</v>
      </c>
      <c r="D26" s="17" t="s">
        <v>8</v>
      </c>
      <c r="E26" s="17" t="s">
        <v>14</v>
      </c>
      <c r="F26" s="17" t="s">
        <v>41</v>
      </c>
      <c r="G26" s="17" t="s">
        <v>64</v>
      </c>
      <c r="H26" s="17" t="s">
        <v>33</v>
      </c>
      <c r="I26" s="17">
        <v>4249</v>
      </c>
      <c r="J26" s="17">
        <v>842</v>
      </c>
      <c r="K26" s="18">
        <v>3577658</v>
      </c>
    </row>
    <row r="27" spans="1:11" x14ac:dyDescent="0.3">
      <c r="A27" s="17" t="s">
        <v>63</v>
      </c>
      <c r="B27" s="15" t="s">
        <v>42</v>
      </c>
      <c r="C27" s="16" t="s">
        <v>99</v>
      </c>
      <c r="D27" s="17" t="s">
        <v>8</v>
      </c>
      <c r="E27" s="17" t="s">
        <v>43</v>
      </c>
      <c r="F27" s="17" t="s">
        <v>44</v>
      </c>
      <c r="G27" s="17" t="s">
        <v>74</v>
      </c>
      <c r="H27" s="17" t="s">
        <v>33</v>
      </c>
      <c r="I27" s="17">
        <v>1902</v>
      </c>
      <c r="J27" s="17">
        <v>671</v>
      </c>
      <c r="K27" s="18">
        <v>1276242</v>
      </c>
    </row>
    <row r="28" spans="1:11" x14ac:dyDescent="0.3">
      <c r="A28" s="17" t="s">
        <v>67</v>
      </c>
      <c r="B28" s="15" t="s">
        <v>45</v>
      </c>
      <c r="C28" s="16" t="s">
        <v>99</v>
      </c>
      <c r="D28" s="17" t="s">
        <v>46</v>
      </c>
      <c r="E28" s="17" t="s">
        <v>14</v>
      </c>
      <c r="F28" s="17" t="s">
        <v>47</v>
      </c>
      <c r="G28" s="17" t="s">
        <v>64</v>
      </c>
      <c r="H28" s="17" t="s">
        <v>33</v>
      </c>
      <c r="I28" s="17">
        <v>6166</v>
      </c>
      <c r="J28" s="17">
        <v>894</v>
      </c>
      <c r="K28" s="18">
        <v>5512404</v>
      </c>
    </row>
    <row r="29" spans="1:11" x14ac:dyDescent="0.3">
      <c r="A29" s="17" t="s">
        <v>67</v>
      </c>
      <c r="B29" s="15" t="s">
        <v>48</v>
      </c>
      <c r="C29" s="16" t="s">
        <v>99</v>
      </c>
      <c r="D29" s="17" t="s">
        <v>46</v>
      </c>
      <c r="E29" s="17" t="s">
        <v>49</v>
      </c>
      <c r="F29" s="17" t="s">
        <v>50</v>
      </c>
      <c r="G29" s="17" t="s">
        <v>50</v>
      </c>
      <c r="H29" s="17" t="s">
        <v>33</v>
      </c>
      <c r="I29" s="17">
        <v>3669</v>
      </c>
      <c r="J29" s="17">
        <v>541</v>
      </c>
      <c r="K29" s="18">
        <v>1984929</v>
      </c>
    </row>
    <row r="30" spans="1:11" x14ac:dyDescent="0.3">
      <c r="A30" s="17" t="s">
        <v>67</v>
      </c>
      <c r="B30" s="15" t="s">
        <v>51</v>
      </c>
      <c r="C30" s="16" t="s">
        <v>99</v>
      </c>
      <c r="D30" s="17" t="s">
        <v>46</v>
      </c>
      <c r="E30" s="17" t="s">
        <v>43</v>
      </c>
      <c r="F30" s="17" t="s">
        <v>52</v>
      </c>
      <c r="G30" s="17" t="s">
        <v>74</v>
      </c>
      <c r="H30" s="17" t="s">
        <v>33</v>
      </c>
      <c r="I30" s="17">
        <v>4667</v>
      </c>
      <c r="J30" s="17">
        <v>646</v>
      </c>
      <c r="K30" s="18">
        <v>3014882</v>
      </c>
    </row>
    <row r="31" spans="1:11" x14ac:dyDescent="0.3">
      <c r="A31" s="17" t="s">
        <v>67</v>
      </c>
      <c r="B31" s="15" t="s">
        <v>53</v>
      </c>
      <c r="C31" s="16" t="s">
        <v>99</v>
      </c>
      <c r="D31" s="17" t="s">
        <v>46</v>
      </c>
      <c r="E31" s="17" t="s">
        <v>20</v>
      </c>
      <c r="F31" s="17" t="s">
        <v>54</v>
      </c>
      <c r="G31" s="17" t="s">
        <v>76</v>
      </c>
      <c r="H31" s="17" t="s">
        <v>33</v>
      </c>
      <c r="I31" s="17">
        <v>6722</v>
      </c>
      <c r="J31" s="17">
        <v>671</v>
      </c>
      <c r="K31" s="18">
        <v>4510462</v>
      </c>
    </row>
    <row r="32" spans="1:11" x14ac:dyDescent="0.3">
      <c r="A32" s="17" t="s">
        <v>63</v>
      </c>
      <c r="B32" s="15" t="s">
        <v>100</v>
      </c>
      <c r="C32" s="16" t="s">
        <v>99</v>
      </c>
      <c r="D32" s="17" t="s">
        <v>101</v>
      </c>
      <c r="E32" s="17" t="s">
        <v>17</v>
      </c>
      <c r="F32" s="17" t="s">
        <v>18</v>
      </c>
      <c r="G32" s="17" t="s">
        <v>65</v>
      </c>
      <c r="H32" s="17" t="s">
        <v>33</v>
      </c>
      <c r="I32" s="17">
        <v>7170</v>
      </c>
      <c r="J32" s="17">
        <v>521</v>
      </c>
      <c r="K32" s="18">
        <v>3735570</v>
      </c>
    </row>
    <row r="33" spans="1:11" x14ac:dyDescent="0.3">
      <c r="A33" s="17" t="s">
        <v>63</v>
      </c>
      <c r="B33" s="15" t="s">
        <v>102</v>
      </c>
      <c r="C33" s="16" t="s">
        <v>99</v>
      </c>
      <c r="D33" s="17" t="s">
        <v>103</v>
      </c>
      <c r="E33" s="17" t="s">
        <v>43</v>
      </c>
      <c r="F33" s="17" t="s">
        <v>104</v>
      </c>
      <c r="G33" s="17" t="s">
        <v>74</v>
      </c>
      <c r="H33" s="17" t="s">
        <v>33</v>
      </c>
      <c r="I33" s="17">
        <v>4724</v>
      </c>
      <c r="J33" s="17">
        <v>951</v>
      </c>
      <c r="K33" s="18">
        <v>4492524</v>
      </c>
    </row>
    <row r="34" spans="1:11" x14ac:dyDescent="0.3">
      <c r="A34" s="17" t="s">
        <v>63</v>
      </c>
      <c r="B34" s="15" t="s">
        <v>105</v>
      </c>
      <c r="C34" s="16" t="s">
        <v>99</v>
      </c>
      <c r="D34" s="17" t="s">
        <v>103</v>
      </c>
      <c r="E34" s="17" t="s">
        <v>17</v>
      </c>
      <c r="F34" s="17" t="s">
        <v>106</v>
      </c>
      <c r="G34" s="17" t="s">
        <v>98</v>
      </c>
      <c r="H34" s="17" t="s">
        <v>33</v>
      </c>
      <c r="I34" s="17">
        <v>5398</v>
      </c>
      <c r="J34" s="17">
        <v>832</v>
      </c>
      <c r="K34" s="18">
        <v>4491136</v>
      </c>
    </row>
    <row r="35" spans="1:11" x14ac:dyDescent="0.3">
      <c r="A35" s="17" t="s">
        <v>63</v>
      </c>
      <c r="B35" s="15" t="s">
        <v>107</v>
      </c>
      <c r="C35" s="16" t="s">
        <v>99</v>
      </c>
      <c r="D35" s="17" t="s">
        <v>103</v>
      </c>
      <c r="E35" s="17" t="s">
        <v>17</v>
      </c>
      <c r="F35" s="17" t="s">
        <v>108</v>
      </c>
      <c r="G35" s="17" t="s">
        <v>65</v>
      </c>
      <c r="H35" s="17" t="s">
        <v>33</v>
      </c>
      <c r="I35" s="17">
        <v>9466</v>
      </c>
      <c r="J35" s="17">
        <v>933</v>
      </c>
      <c r="K35" s="18">
        <v>8831778</v>
      </c>
    </row>
    <row r="36" spans="1:11" x14ac:dyDescent="0.3">
      <c r="A36" s="17" t="s">
        <v>63</v>
      </c>
      <c r="B36" s="15" t="s">
        <v>109</v>
      </c>
      <c r="C36" s="16" t="s">
        <v>99</v>
      </c>
      <c r="D36" s="17" t="s">
        <v>103</v>
      </c>
      <c r="E36" s="17" t="s">
        <v>20</v>
      </c>
      <c r="F36" s="17" t="s">
        <v>110</v>
      </c>
      <c r="G36" s="17" t="s">
        <v>68</v>
      </c>
      <c r="H36" s="17" t="s">
        <v>33</v>
      </c>
      <c r="I36" s="17">
        <v>4168</v>
      </c>
      <c r="J36" s="17">
        <v>769</v>
      </c>
      <c r="K36" s="18">
        <v>3205192</v>
      </c>
    </row>
    <row r="37" spans="1:11" x14ac:dyDescent="0.3">
      <c r="A37" s="17" t="s">
        <v>63</v>
      </c>
      <c r="B37" s="15" t="s">
        <v>111</v>
      </c>
      <c r="C37" s="16" t="s">
        <v>99</v>
      </c>
      <c r="D37" s="17" t="s">
        <v>103</v>
      </c>
      <c r="E37" s="17" t="s">
        <v>9</v>
      </c>
      <c r="F37" s="17" t="s">
        <v>10</v>
      </c>
      <c r="G37" s="17" t="s">
        <v>10</v>
      </c>
      <c r="H37" s="17" t="s">
        <v>33</v>
      </c>
      <c r="I37" s="17">
        <v>5773</v>
      </c>
      <c r="J37" s="17">
        <v>627</v>
      </c>
      <c r="K37" s="18">
        <v>3619671</v>
      </c>
    </row>
    <row r="38" spans="1:11" x14ac:dyDescent="0.3">
      <c r="A38" s="17" t="s">
        <v>63</v>
      </c>
      <c r="B38" s="15" t="s">
        <v>112</v>
      </c>
      <c r="C38" s="16" t="s">
        <v>99</v>
      </c>
      <c r="D38" s="17" t="s">
        <v>103</v>
      </c>
      <c r="E38" s="17" t="s">
        <v>14</v>
      </c>
      <c r="F38" s="17" t="s">
        <v>15</v>
      </c>
      <c r="G38" s="17" t="s">
        <v>64</v>
      </c>
      <c r="H38" s="17" t="s">
        <v>33</v>
      </c>
      <c r="I38" s="17">
        <v>8417</v>
      </c>
      <c r="J38" s="17">
        <v>918</v>
      </c>
      <c r="K38" s="18">
        <v>7726806</v>
      </c>
    </row>
    <row r="39" spans="1:11" x14ac:dyDescent="0.3">
      <c r="A39" s="17" t="s">
        <v>63</v>
      </c>
      <c r="B39" s="15" t="s">
        <v>113</v>
      </c>
      <c r="C39" s="16" t="s">
        <v>99</v>
      </c>
      <c r="D39" s="17" t="s">
        <v>103</v>
      </c>
      <c r="E39" s="17" t="s">
        <v>17</v>
      </c>
      <c r="F39" s="17" t="s">
        <v>18</v>
      </c>
      <c r="G39" s="17" t="s">
        <v>65</v>
      </c>
      <c r="H39" s="17" t="s">
        <v>33</v>
      </c>
      <c r="I39" s="17">
        <v>4691</v>
      </c>
      <c r="J39" s="17">
        <v>901</v>
      </c>
      <c r="K39" s="18">
        <v>4226591</v>
      </c>
    </row>
    <row r="40" spans="1:11" x14ac:dyDescent="0.3">
      <c r="A40" s="17" t="s">
        <v>63</v>
      </c>
      <c r="B40" s="15" t="s">
        <v>114</v>
      </c>
      <c r="C40" s="16" t="s">
        <v>99</v>
      </c>
      <c r="D40" s="17" t="s">
        <v>103</v>
      </c>
      <c r="E40" s="17" t="s">
        <v>20</v>
      </c>
      <c r="F40" s="17" t="s">
        <v>21</v>
      </c>
      <c r="G40" s="17" t="s">
        <v>66</v>
      </c>
      <c r="H40" s="17" t="s">
        <v>33</v>
      </c>
      <c r="I40" s="17">
        <v>5945</v>
      </c>
      <c r="J40" s="17">
        <v>887</v>
      </c>
      <c r="K40" s="18">
        <v>5273215</v>
      </c>
    </row>
    <row r="41" spans="1:11" x14ac:dyDescent="0.3">
      <c r="A41" s="17" t="s">
        <v>63</v>
      </c>
      <c r="B41" s="15" t="s">
        <v>115</v>
      </c>
      <c r="C41" s="16" t="s">
        <v>99</v>
      </c>
      <c r="D41" s="17" t="s">
        <v>103</v>
      </c>
      <c r="E41" s="17" t="s">
        <v>20</v>
      </c>
      <c r="F41" s="17" t="s">
        <v>24</v>
      </c>
      <c r="G41" s="17" t="s">
        <v>68</v>
      </c>
      <c r="H41" s="17" t="s">
        <v>33</v>
      </c>
      <c r="I41" s="17">
        <v>6807</v>
      </c>
      <c r="J41" s="17">
        <v>607</v>
      </c>
      <c r="K41" s="18">
        <v>4131849</v>
      </c>
    </row>
    <row r="42" spans="1:11" x14ac:dyDescent="0.3">
      <c r="A42" s="17" t="s">
        <v>63</v>
      </c>
      <c r="B42" s="15" t="s">
        <v>116</v>
      </c>
      <c r="C42" s="16" t="s">
        <v>99</v>
      </c>
      <c r="D42" s="17" t="s">
        <v>103</v>
      </c>
      <c r="E42" s="17" t="s">
        <v>20</v>
      </c>
      <c r="F42" s="17" t="s">
        <v>26</v>
      </c>
      <c r="G42" s="17" t="s">
        <v>69</v>
      </c>
      <c r="H42" s="17" t="s">
        <v>11</v>
      </c>
      <c r="I42" s="17">
        <v>3546</v>
      </c>
      <c r="J42" s="17">
        <v>562</v>
      </c>
      <c r="K42" s="18">
        <v>1992852</v>
      </c>
    </row>
    <row r="43" spans="1:11" x14ac:dyDescent="0.3">
      <c r="A43" s="17" t="s">
        <v>63</v>
      </c>
      <c r="B43" s="15" t="s">
        <v>117</v>
      </c>
      <c r="C43" s="16" t="s">
        <v>99</v>
      </c>
      <c r="D43" s="17" t="s">
        <v>103</v>
      </c>
      <c r="E43" s="17" t="s">
        <v>14</v>
      </c>
      <c r="F43" s="17" t="s">
        <v>28</v>
      </c>
      <c r="G43" s="17" t="s">
        <v>70</v>
      </c>
      <c r="H43" s="17" t="s">
        <v>11</v>
      </c>
      <c r="I43" s="17">
        <v>9463</v>
      </c>
      <c r="J43" s="17">
        <v>615</v>
      </c>
      <c r="K43" s="18">
        <v>5819745</v>
      </c>
    </row>
    <row r="44" spans="1:11" x14ac:dyDescent="0.3">
      <c r="A44" s="17" t="s">
        <v>63</v>
      </c>
      <c r="B44" s="15" t="s">
        <v>118</v>
      </c>
      <c r="C44" s="16" t="s">
        <v>99</v>
      </c>
      <c r="D44" s="17" t="s">
        <v>103</v>
      </c>
      <c r="E44" s="17" t="s">
        <v>14</v>
      </c>
      <c r="F44" s="17" t="s">
        <v>30</v>
      </c>
      <c r="G44" s="17" t="s">
        <v>64</v>
      </c>
      <c r="H44" s="17" t="s">
        <v>11</v>
      </c>
      <c r="I44" s="17">
        <v>9927</v>
      </c>
      <c r="J44" s="17">
        <v>631</v>
      </c>
      <c r="K44" s="18">
        <v>6263937</v>
      </c>
    </row>
    <row r="45" spans="1:11" x14ac:dyDescent="0.3">
      <c r="A45" s="17" t="s">
        <v>67</v>
      </c>
      <c r="B45" s="15" t="s">
        <v>119</v>
      </c>
      <c r="C45" s="16" t="s">
        <v>99</v>
      </c>
      <c r="D45" s="17" t="s">
        <v>72</v>
      </c>
      <c r="E45" s="17" t="s">
        <v>9</v>
      </c>
      <c r="F45" s="17" t="s">
        <v>32</v>
      </c>
      <c r="G45" s="17" t="s">
        <v>93</v>
      </c>
      <c r="H45" s="17" t="s">
        <v>11</v>
      </c>
      <c r="I45" s="17">
        <v>1666</v>
      </c>
      <c r="J45" s="17">
        <v>714</v>
      </c>
      <c r="K45" s="18">
        <v>1189524</v>
      </c>
    </row>
    <row r="46" spans="1:11" x14ac:dyDescent="0.3">
      <c r="A46" s="17" t="s">
        <v>67</v>
      </c>
      <c r="B46" s="15" t="s">
        <v>120</v>
      </c>
      <c r="C46" s="16" t="s">
        <v>99</v>
      </c>
      <c r="D46" s="17" t="s">
        <v>72</v>
      </c>
      <c r="E46" s="17" t="s">
        <v>14</v>
      </c>
      <c r="F46" s="17" t="s">
        <v>35</v>
      </c>
      <c r="G46" s="17" t="s">
        <v>70</v>
      </c>
      <c r="H46" s="17" t="s">
        <v>11</v>
      </c>
      <c r="I46" s="17">
        <v>9392</v>
      </c>
      <c r="J46" s="17">
        <v>631</v>
      </c>
      <c r="K46" s="18">
        <v>5926352</v>
      </c>
    </row>
    <row r="47" spans="1:11" x14ac:dyDescent="0.3">
      <c r="A47" s="17" t="s">
        <v>67</v>
      </c>
      <c r="B47" s="15" t="s">
        <v>121</v>
      </c>
      <c r="C47" s="16" t="s">
        <v>99</v>
      </c>
      <c r="D47" s="17" t="s">
        <v>72</v>
      </c>
      <c r="E47" s="17" t="s">
        <v>9</v>
      </c>
      <c r="F47" s="17" t="s">
        <v>37</v>
      </c>
      <c r="G47" s="17" t="s">
        <v>84</v>
      </c>
      <c r="H47" s="17" t="s">
        <v>33</v>
      </c>
      <c r="I47" s="17">
        <v>7124</v>
      </c>
      <c r="J47" s="17">
        <v>693</v>
      </c>
      <c r="K47" s="18">
        <v>4936932</v>
      </c>
    </row>
    <row r="48" spans="1:11" x14ac:dyDescent="0.3">
      <c r="A48" s="17" t="s">
        <v>67</v>
      </c>
      <c r="B48" s="15" t="s">
        <v>122</v>
      </c>
      <c r="C48" s="16" t="s">
        <v>99</v>
      </c>
      <c r="D48" s="17" t="s">
        <v>72</v>
      </c>
      <c r="E48" s="17" t="s">
        <v>9</v>
      </c>
      <c r="F48" s="17" t="s">
        <v>39</v>
      </c>
      <c r="G48" s="17" t="s">
        <v>84</v>
      </c>
      <c r="H48" s="17" t="s">
        <v>33</v>
      </c>
      <c r="I48" s="17">
        <v>9636</v>
      </c>
      <c r="J48" s="17">
        <v>873</v>
      </c>
      <c r="K48" s="18">
        <v>8412228</v>
      </c>
    </row>
    <row r="49" spans="1:11" x14ac:dyDescent="0.3">
      <c r="A49" s="17" t="s">
        <v>67</v>
      </c>
      <c r="B49" s="15" t="s">
        <v>123</v>
      </c>
      <c r="C49" s="16" t="s">
        <v>99</v>
      </c>
      <c r="D49" s="17" t="s">
        <v>72</v>
      </c>
      <c r="E49" s="17" t="s">
        <v>14</v>
      </c>
      <c r="F49" s="17" t="s">
        <v>41</v>
      </c>
      <c r="G49" s="17" t="s">
        <v>64</v>
      </c>
      <c r="H49" s="17" t="s">
        <v>33</v>
      </c>
      <c r="I49" s="17">
        <v>6596</v>
      </c>
      <c r="J49" s="17">
        <v>811</v>
      </c>
      <c r="K49" s="18">
        <v>5349356</v>
      </c>
    </row>
    <row r="50" spans="1:11" x14ac:dyDescent="0.3">
      <c r="A50" s="17" t="s">
        <v>67</v>
      </c>
      <c r="B50" s="15" t="s">
        <v>124</v>
      </c>
      <c r="C50" s="16" t="s">
        <v>99</v>
      </c>
      <c r="D50" s="17" t="s">
        <v>72</v>
      </c>
      <c r="E50" s="17" t="s">
        <v>43</v>
      </c>
      <c r="F50" s="17" t="s">
        <v>44</v>
      </c>
      <c r="G50" s="17" t="s">
        <v>74</v>
      </c>
      <c r="H50" s="17" t="s">
        <v>33</v>
      </c>
      <c r="I50" s="17">
        <v>6338</v>
      </c>
      <c r="J50" s="17">
        <v>540</v>
      </c>
      <c r="K50" s="18">
        <v>3422520</v>
      </c>
    </row>
    <row r="51" spans="1:11" x14ac:dyDescent="0.3">
      <c r="A51" s="17" t="s">
        <v>67</v>
      </c>
      <c r="B51" s="15" t="s">
        <v>125</v>
      </c>
      <c r="C51" s="16" t="s">
        <v>99</v>
      </c>
      <c r="D51" s="17" t="s">
        <v>72</v>
      </c>
      <c r="E51" s="17" t="s">
        <v>14</v>
      </c>
      <c r="F51" s="17" t="s">
        <v>47</v>
      </c>
      <c r="G51" s="17" t="s">
        <v>64</v>
      </c>
      <c r="H51" s="17" t="s">
        <v>33</v>
      </c>
      <c r="I51" s="17">
        <v>8446</v>
      </c>
      <c r="J51" s="17">
        <v>812</v>
      </c>
      <c r="K51" s="18">
        <v>6858152</v>
      </c>
    </row>
    <row r="52" spans="1:11" x14ac:dyDescent="0.3">
      <c r="A52" s="17" t="s">
        <v>67</v>
      </c>
      <c r="B52" s="15" t="s">
        <v>71</v>
      </c>
      <c r="C52" s="16" t="s">
        <v>99</v>
      </c>
      <c r="D52" s="17" t="s">
        <v>72</v>
      </c>
      <c r="E52" s="17" t="s">
        <v>49</v>
      </c>
      <c r="F52" s="17" t="s">
        <v>50</v>
      </c>
      <c r="G52" s="17" t="s">
        <v>50</v>
      </c>
      <c r="H52" s="17" t="s">
        <v>33</v>
      </c>
      <c r="I52" s="17">
        <v>9102</v>
      </c>
      <c r="J52" s="17">
        <v>894</v>
      </c>
      <c r="K52" s="18">
        <v>8137188</v>
      </c>
    </row>
    <row r="53" spans="1:11" x14ac:dyDescent="0.3">
      <c r="A53" s="17" t="s">
        <v>67</v>
      </c>
      <c r="B53" s="15" t="s">
        <v>73</v>
      </c>
      <c r="C53" s="16" t="s">
        <v>99</v>
      </c>
      <c r="D53" s="17" t="s">
        <v>72</v>
      </c>
      <c r="E53" s="17" t="s">
        <v>43</v>
      </c>
      <c r="F53" s="17" t="s">
        <v>52</v>
      </c>
      <c r="G53" s="17" t="s">
        <v>74</v>
      </c>
      <c r="H53" s="17" t="s">
        <v>33</v>
      </c>
      <c r="I53" s="17">
        <v>3887</v>
      </c>
      <c r="J53" s="17">
        <v>912</v>
      </c>
      <c r="K53" s="18">
        <v>3544944</v>
      </c>
    </row>
    <row r="54" spans="1:11" x14ac:dyDescent="0.3">
      <c r="A54" s="17" t="s">
        <v>67</v>
      </c>
      <c r="B54" s="15" t="s">
        <v>75</v>
      </c>
      <c r="C54" s="16" t="s">
        <v>99</v>
      </c>
      <c r="D54" s="17" t="s">
        <v>72</v>
      </c>
      <c r="E54" s="17" t="s">
        <v>20</v>
      </c>
      <c r="F54" s="17" t="s">
        <v>54</v>
      </c>
      <c r="G54" s="17" t="s">
        <v>76</v>
      </c>
      <c r="H54" s="17" t="s">
        <v>11</v>
      </c>
      <c r="I54" s="17">
        <v>9519</v>
      </c>
      <c r="J54" s="17">
        <v>970</v>
      </c>
      <c r="K54" s="18">
        <v>9233430</v>
      </c>
    </row>
    <row r="55" spans="1:11" x14ac:dyDescent="0.3">
      <c r="A55" s="17" t="s">
        <v>67</v>
      </c>
      <c r="B55" s="15" t="s">
        <v>77</v>
      </c>
      <c r="C55" s="16" t="s">
        <v>99</v>
      </c>
      <c r="D55" s="17" t="s">
        <v>72</v>
      </c>
      <c r="E55" s="17" t="s">
        <v>17</v>
      </c>
      <c r="F55" s="17" t="s">
        <v>56</v>
      </c>
      <c r="G55" s="17" t="s">
        <v>78</v>
      </c>
      <c r="H55" s="17" t="s">
        <v>11</v>
      </c>
      <c r="I55" s="17">
        <v>8983</v>
      </c>
      <c r="J55" s="17">
        <v>840</v>
      </c>
      <c r="K55" s="18">
        <v>7545720</v>
      </c>
    </row>
    <row r="56" spans="1:11" x14ac:dyDescent="0.3">
      <c r="A56" s="17" t="s">
        <v>67</v>
      </c>
      <c r="B56" s="15" t="s">
        <v>79</v>
      </c>
      <c r="C56" s="16" t="s">
        <v>99</v>
      </c>
      <c r="D56" s="17" t="s">
        <v>72</v>
      </c>
      <c r="E56" s="17" t="s">
        <v>14</v>
      </c>
      <c r="F56" s="17" t="s">
        <v>80</v>
      </c>
      <c r="G56" s="17" t="s">
        <v>70</v>
      </c>
      <c r="H56" s="17" t="s">
        <v>11</v>
      </c>
      <c r="I56" s="17">
        <v>6892</v>
      </c>
      <c r="J56" s="17">
        <v>643</v>
      </c>
      <c r="K56" s="18">
        <v>4431556</v>
      </c>
    </row>
    <row r="57" spans="1:11" x14ac:dyDescent="0.3">
      <c r="A57" s="17" t="s">
        <v>67</v>
      </c>
      <c r="B57" s="15" t="s">
        <v>81</v>
      </c>
      <c r="C57" s="16" t="s">
        <v>99</v>
      </c>
      <c r="D57" s="17" t="s">
        <v>82</v>
      </c>
      <c r="E57" s="17" t="s">
        <v>9</v>
      </c>
      <c r="F57" s="17" t="s">
        <v>83</v>
      </c>
      <c r="G57" s="17" t="s">
        <v>84</v>
      </c>
      <c r="H57" s="17" t="s">
        <v>11</v>
      </c>
      <c r="I57" s="17">
        <v>6946</v>
      </c>
      <c r="J57" s="17">
        <v>882</v>
      </c>
      <c r="K57" s="18">
        <v>6126372</v>
      </c>
    </row>
    <row r="58" spans="1:11" x14ac:dyDescent="0.3">
      <c r="A58" s="17" t="s">
        <v>67</v>
      </c>
      <c r="B58" s="15" t="s">
        <v>85</v>
      </c>
      <c r="C58" s="16" t="s">
        <v>99</v>
      </c>
      <c r="D58" s="17" t="s">
        <v>82</v>
      </c>
      <c r="E58" s="17" t="s">
        <v>9</v>
      </c>
      <c r="F58" s="17" t="s">
        <v>86</v>
      </c>
      <c r="G58" s="17" t="s">
        <v>84</v>
      </c>
      <c r="H58" s="17" t="s">
        <v>33</v>
      </c>
      <c r="I58" s="17">
        <v>8990</v>
      </c>
      <c r="J58" s="17">
        <v>666</v>
      </c>
      <c r="K58" s="18">
        <v>5987340</v>
      </c>
    </row>
    <row r="59" spans="1:11" x14ac:dyDescent="0.3">
      <c r="A59" s="17" t="s">
        <v>67</v>
      </c>
      <c r="B59" s="15" t="s">
        <v>87</v>
      </c>
      <c r="C59" s="16" t="s">
        <v>99</v>
      </c>
      <c r="D59" s="17" t="s">
        <v>82</v>
      </c>
      <c r="E59" s="17" t="s">
        <v>20</v>
      </c>
      <c r="F59" s="17" t="s">
        <v>88</v>
      </c>
      <c r="G59" s="17" t="s">
        <v>66</v>
      </c>
      <c r="H59" s="17" t="s">
        <v>11</v>
      </c>
      <c r="I59" s="17">
        <v>5594</v>
      </c>
      <c r="J59" s="17">
        <v>615</v>
      </c>
      <c r="K59" s="18">
        <v>3440310</v>
      </c>
    </row>
    <row r="60" spans="1:11" x14ac:dyDescent="0.3">
      <c r="A60" s="17" t="s">
        <v>67</v>
      </c>
      <c r="B60" s="15" t="s">
        <v>126</v>
      </c>
      <c r="C60" s="16" t="s">
        <v>99</v>
      </c>
      <c r="D60" s="17" t="s">
        <v>46</v>
      </c>
      <c r="E60" s="17" t="s">
        <v>9</v>
      </c>
      <c r="F60" s="17" t="s">
        <v>83</v>
      </c>
      <c r="G60" s="17" t="s">
        <v>84</v>
      </c>
      <c r="H60" s="17" t="s">
        <v>11</v>
      </c>
      <c r="I60" s="17">
        <v>9513</v>
      </c>
      <c r="J60" s="17">
        <v>632</v>
      </c>
      <c r="K60" s="18">
        <v>6012216</v>
      </c>
    </row>
    <row r="61" spans="1:11" x14ac:dyDescent="0.3">
      <c r="A61" s="17" t="s">
        <v>63</v>
      </c>
      <c r="B61" s="15" t="s">
        <v>127</v>
      </c>
      <c r="C61" s="16" t="s">
        <v>99</v>
      </c>
      <c r="D61" s="17" t="s">
        <v>101</v>
      </c>
      <c r="E61" s="17" t="s">
        <v>9</v>
      </c>
      <c r="F61" s="17" t="s">
        <v>86</v>
      </c>
      <c r="G61" s="17" t="s">
        <v>84</v>
      </c>
      <c r="H61" s="17" t="s">
        <v>11</v>
      </c>
      <c r="I61" s="17">
        <v>9633</v>
      </c>
      <c r="J61" s="17">
        <v>891</v>
      </c>
      <c r="K61" s="18">
        <v>8583003</v>
      </c>
    </row>
    <row r="62" spans="1:11" x14ac:dyDescent="0.3">
      <c r="A62" s="17" t="s">
        <v>63</v>
      </c>
      <c r="B62" s="15" t="s">
        <v>128</v>
      </c>
      <c r="C62" s="16" t="s">
        <v>99</v>
      </c>
      <c r="D62" s="17" t="s">
        <v>101</v>
      </c>
      <c r="E62" s="17" t="s">
        <v>20</v>
      </c>
      <c r="F62" s="17" t="s">
        <v>88</v>
      </c>
      <c r="G62" s="17" t="s">
        <v>66</v>
      </c>
      <c r="H62" s="17" t="s">
        <v>11</v>
      </c>
      <c r="I62" s="17">
        <v>4332</v>
      </c>
      <c r="J62" s="17">
        <v>858</v>
      </c>
      <c r="K62" s="18">
        <v>3716856</v>
      </c>
    </row>
    <row r="63" spans="1:11" x14ac:dyDescent="0.3">
      <c r="A63" s="17" t="s">
        <v>63</v>
      </c>
      <c r="B63" s="15" t="s">
        <v>129</v>
      </c>
      <c r="C63" s="16" t="s">
        <v>99</v>
      </c>
      <c r="D63" s="17" t="s">
        <v>101</v>
      </c>
      <c r="E63" s="17" t="s">
        <v>20</v>
      </c>
      <c r="F63" s="17" t="s">
        <v>90</v>
      </c>
      <c r="G63" s="17" t="s">
        <v>66</v>
      </c>
      <c r="H63" s="17" t="s">
        <v>11</v>
      </c>
      <c r="I63" s="17">
        <v>1995</v>
      </c>
      <c r="J63" s="17">
        <v>897</v>
      </c>
      <c r="K63" s="18">
        <v>1789515</v>
      </c>
    </row>
    <row r="64" spans="1:11" x14ac:dyDescent="0.3">
      <c r="A64" s="17" t="s">
        <v>63</v>
      </c>
      <c r="B64" s="15" t="s">
        <v>130</v>
      </c>
      <c r="C64" s="16" t="s">
        <v>99</v>
      </c>
      <c r="D64" s="17" t="s">
        <v>101</v>
      </c>
      <c r="E64" s="17" t="s">
        <v>9</v>
      </c>
      <c r="F64" s="17" t="s">
        <v>92</v>
      </c>
      <c r="G64" s="17" t="s">
        <v>93</v>
      </c>
      <c r="H64" s="17" t="s">
        <v>33</v>
      </c>
      <c r="I64" s="17">
        <v>3691</v>
      </c>
      <c r="J64" s="17">
        <v>940</v>
      </c>
      <c r="K64" s="18">
        <v>3469540</v>
      </c>
    </row>
    <row r="65" spans="1:11" x14ac:dyDescent="0.3">
      <c r="A65" s="17" t="s">
        <v>63</v>
      </c>
      <c r="B65" s="15" t="s">
        <v>131</v>
      </c>
      <c r="C65" s="16" t="s">
        <v>99</v>
      </c>
      <c r="D65" s="17" t="s">
        <v>101</v>
      </c>
      <c r="E65" s="17" t="s">
        <v>9</v>
      </c>
      <c r="F65" s="17" t="s">
        <v>95</v>
      </c>
      <c r="G65" s="17" t="s">
        <v>84</v>
      </c>
      <c r="H65" s="17" t="s">
        <v>33</v>
      </c>
      <c r="I65" s="17">
        <v>2570</v>
      </c>
      <c r="J65" s="17">
        <v>704</v>
      </c>
      <c r="K65" s="18">
        <v>1809280</v>
      </c>
    </row>
    <row r="66" spans="1:11" x14ac:dyDescent="0.3">
      <c r="A66" s="17" t="s">
        <v>63</v>
      </c>
      <c r="B66" s="15" t="s">
        <v>132</v>
      </c>
      <c r="C66" s="16" t="s">
        <v>99</v>
      </c>
      <c r="D66" s="17" t="s">
        <v>101</v>
      </c>
      <c r="E66" s="17" t="s">
        <v>17</v>
      </c>
      <c r="F66" s="17" t="s">
        <v>97</v>
      </c>
      <c r="G66" s="17" t="s">
        <v>98</v>
      </c>
      <c r="H66" s="17" t="s">
        <v>33</v>
      </c>
      <c r="I66" s="17">
        <v>2952</v>
      </c>
      <c r="J66" s="17">
        <v>972</v>
      </c>
      <c r="K66" s="18">
        <v>2869344</v>
      </c>
    </row>
    <row r="67" spans="1:11" x14ac:dyDescent="0.3">
      <c r="A67" s="17" t="s">
        <v>63</v>
      </c>
      <c r="B67" s="15" t="s">
        <v>133</v>
      </c>
      <c r="C67" s="16" t="s">
        <v>99</v>
      </c>
      <c r="D67" s="17" t="s">
        <v>101</v>
      </c>
      <c r="E67" s="17" t="s">
        <v>20</v>
      </c>
      <c r="F67" s="17" t="s">
        <v>134</v>
      </c>
      <c r="G67" s="17" t="s">
        <v>135</v>
      </c>
      <c r="H67" s="17" t="s">
        <v>33</v>
      </c>
      <c r="I67" s="17">
        <v>1992</v>
      </c>
      <c r="J67" s="17">
        <v>538</v>
      </c>
      <c r="K67" s="18">
        <v>1071696</v>
      </c>
    </row>
    <row r="68" spans="1:11" x14ac:dyDescent="0.3">
      <c r="A68" s="17" t="s">
        <v>63</v>
      </c>
      <c r="B68" s="15" t="s">
        <v>136</v>
      </c>
      <c r="C68" s="16" t="s">
        <v>99</v>
      </c>
      <c r="D68" s="17" t="s">
        <v>101</v>
      </c>
      <c r="E68" s="17" t="s">
        <v>14</v>
      </c>
      <c r="F68" s="17" t="s">
        <v>137</v>
      </c>
      <c r="G68" s="17" t="s">
        <v>64</v>
      </c>
      <c r="H68" s="17" t="s">
        <v>33</v>
      </c>
      <c r="I68" s="17">
        <v>2907</v>
      </c>
      <c r="J68" s="17">
        <v>750</v>
      </c>
      <c r="K68" s="18">
        <v>2180250</v>
      </c>
    </row>
    <row r="69" spans="1:11" x14ac:dyDescent="0.3">
      <c r="A69" s="17" t="s">
        <v>63</v>
      </c>
      <c r="B69" s="15" t="s">
        <v>138</v>
      </c>
      <c r="C69" s="16" t="s">
        <v>99</v>
      </c>
      <c r="D69" s="17" t="s">
        <v>101</v>
      </c>
      <c r="E69" s="17" t="s">
        <v>9</v>
      </c>
      <c r="F69" s="17" t="s">
        <v>139</v>
      </c>
      <c r="G69" s="17" t="s">
        <v>140</v>
      </c>
      <c r="H69" s="17" t="s">
        <v>33</v>
      </c>
      <c r="I69" s="17">
        <v>2936</v>
      </c>
      <c r="J69" s="17">
        <v>558</v>
      </c>
      <c r="K69" s="18">
        <v>1638288</v>
      </c>
    </row>
    <row r="70" spans="1:11" x14ac:dyDescent="0.3">
      <c r="A70" s="17" t="s">
        <v>63</v>
      </c>
      <c r="B70" s="15" t="s">
        <v>141</v>
      </c>
      <c r="C70" s="16" t="s">
        <v>99</v>
      </c>
      <c r="D70" s="17" t="s">
        <v>101</v>
      </c>
      <c r="E70" s="17" t="s">
        <v>9</v>
      </c>
      <c r="F70" s="17" t="s">
        <v>142</v>
      </c>
      <c r="G70" s="17" t="s">
        <v>143</v>
      </c>
      <c r="H70" s="17" t="s">
        <v>33</v>
      </c>
      <c r="I70" s="17">
        <v>1784</v>
      </c>
      <c r="J70" s="17">
        <v>799</v>
      </c>
      <c r="K70" s="18">
        <v>1425416</v>
      </c>
    </row>
    <row r="71" spans="1:11" x14ac:dyDescent="0.3">
      <c r="A71" s="17" t="s">
        <v>63</v>
      </c>
      <c r="B71" s="15" t="s">
        <v>144</v>
      </c>
      <c r="C71" s="16" t="s">
        <v>99</v>
      </c>
      <c r="D71" s="17" t="s">
        <v>101</v>
      </c>
      <c r="E71" s="17" t="s">
        <v>145</v>
      </c>
      <c r="F71" s="17" t="s">
        <v>146</v>
      </c>
      <c r="G71" s="17" t="s">
        <v>147</v>
      </c>
      <c r="H71" s="17" t="s">
        <v>11</v>
      </c>
      <c r="I71" s="17">
        <v>3010</v>
      </c>
      <c r="J71" s="17">
        <v>603</v>
      </c>
      <c r="K71" s="18">
        <v>1815030</v>
      </c>
    </row>
    <row r="72" spans="1:11" x14ac:dyDescent="0.3">
      <c r="A72" s="17" t="s">
        <v>63</v>
      </c>
      <c r="B72" s="15" t="s">
        <v>148</v>
      </c>
      <c r="C72" s="16" t="s">
        <v>99</v>
      </c>
      <c r="D72" s="17" t="s">
        <v>101</v>
      </c>
      <c r="E72" s="17" t="s">
        <v>9</v>
      </c>
      <c r="F72" s="17" t="s">
        <v>149</v>
      </c>
      <c r="G72" s="17" t="s">
        <v>150</v>
      </c>
      <c r="H72" s="17" t="s">
        <v>11</v>
      </c>
      <c r="I72" s="17">
        <v>9118</v>
      </c>
      <c r="J72" s="17">
        <v>694</v>
      </c>
      <c r="K72" s="18">
        <v>6327892</v>
      </c>
    </row>
    <row r="73" spans="1:11" x14ac:dyDescent="0.3">
      <c r="A73" s="17" t="s">
        <v>63</v>
      </c>
      <c r="B73" s="15" t="s">
        <v>151</v>
      </c>
      <c r="C73" s="16" t="s">
        <v>99</v>
      </c>
      <c r="D73" s="17" t="s">
        <v>101</v>
      </c>
      <c r="E73" s="17" t="s">
        <v>43</v>
      </c>
      <c r="F73" s="17" t="s">
        <v>152</v>
      </c>
      <c r="G73" s="17" t="s">
        <v>153</v>
      </c>
      <c r="H73" s="17" t="s">
        <v>11</v>
      </c>
      <c r="I73" s="17">
        <v>7291</v>
      </c>
      <c r="J73" s="17">
        <v>837</v>
      </c>
      <c r="K73" s="18">
        <v>6102567</v>
      </c>
    </row>
    <row r="74" spans="1:11" x14ac:dyDescent="0.3">
      <c r="A74" s="17" t="s">
        <v>63</v>
      </c>
      <c r="B74" s="15" t="s">
        <v>154</v>
      </c>
      <c r="C74" s="16" t="s">
        <v>99</v>
      </c>
      <c r="D74" s="17" t="s">
        <v>101</v>
      </c>
      <c r="E74" s="17" t="s">
        <v>17</v>
      </c>
      <c r="F74" s="17" t="s">
        <v>155</v>
      </c>
      <c r="G74" s="17" t="s">
        <v>65</v>
      </c>
      <c r="H74" s="17" t="s">
        <v>11</v>
      </c>
      <c r="I74" s="17">
        <v>3141</v>
      </c>
      <c r="J74" s="17">
        <v>834</v>
      </c>
      <c r="K74" s="18">
        <v>2619594</v>
      </c>
    </row>
    <row r="75" spans="1:11" x14ac:dyDescent="0.3">
      <c r="A75" s="17" t="s">
        <v>63</v>
      </c>
      <c r="B75" s="15" t="s">
        <v>100</v>
      </c>
      <c r="C75" s="16" t="s">
        <v>99</v>
      </c>
      <c r="D75" s="17" t="s">
        <v>101</v>
      </c>
      <c r="E75" s="17" t="s">
        <v>17</v>
      </c>
      <c r="F75" s="17" t="s">
        <v>18</v>
      </c>
      <c r="G75" s="17" t="s">
        <v>65</v>
      </c>
      <c r="H75" s="17" t="s">
        <v>33</v>
      </c>
      <c r="I75" s="17">
        <v>7170</v>
      </c>
      <c r="J75" s="17">
        <v>521</v>
      </c>
      <c r="K75" s="18">
        <v>3735570</v>
      </c>
    </row>
    <row r="76" spans="1:11" x14ac:dyDescent="0.3">
      <c r="A76" s="17" t="s">
        <v>63</v>
      </c>
      <c r="B76" s="15" t="s">
        <v>102</v>
      </c>
      <c r="C76" s="16" t="s">
        <v>99</v>
      </c>
      <c r="D76" s="17" t="s">
        <v>103</v>
      </c>
      <c r="E76" s="17" t="s">
        <v>43</v>
      </c>
      <c r="F76" s="17" t="s">
        <v>104</v>
      </c>
      <c r="G76" s="17" t="s">
        <v>74</v>
      </c>
      <c r="H76" s="17" t="s">
        <v>33</v>
      </c>
      <c r="I76" s="17">
        <v>4724</v>
      </c>
      <c r="J76" s="17">
        <v>951</v>
      </c>
      <c r="K76" s="18">
        <v>4492524</v>
      </c>
    </row>
    <row r="77" spans="1:11" x14ac:dyDescent="0.3">
      <c r="A77" s="17" t="s">
        <v>63</v>
      </c>
      <c r="B77" s="15" t="s">
        <v>105</v>
      </c>
      <c r="C77" s="16" t="s">
        <v>99</v>
      </c>
      <c r="D77" s="17" t="s">
        <v>103</v>
      </c>
      <c r="E77" s="17" t="s">
        <v>17</v>
      </c>
      <c r="F77" s="17" t="s">
        <v>106</v>
      </c>
      <c r="G77" s="17" t="s">
        <v>98</v>
      </c>
      <c r="H77" s="17" t="s">
        <v>33</v>
      </c>
      <c r="I77" s="17">
        <v>5398</v>
      </c>
      <c r="J77" s="17">
        <v>832</v>
      </c>
      <c r="K77" s="18">
        <v>4491136</v>
      </c>
    </row>
    <row r="78" spans="1:11" x14ac:dyDescent="0.3">
      <c r="A78" s="17" t="s">
        <v>63</v>
      </c>
      <c r="B78" s="15" t="s">
        <v>107</v>
      </c>
      <c r="C78" s="16" t="s">
        <v>99</v>
      </c>
      <c r="D78" s="17" t="s">
        <v>103</v>
      </c>
      <c r="E78" s="17" t="s">
        <v>17</v>
      </c>
      <c r="F78" s="17" t="s">
        <v>108</v>
      </c>
      <c r="G78" s="17" t="s">
        <v>65</v>
      </c>
      <c r="H78" s="17" t="s">
        <v>33</v>
      </c>
      <c r="I78" s="17">
        <v>9466</v>
      </c>
      <c r="J78" s="17">
        <v>933</v>
      </c>
      <c r="K78" s="18">
        <v>8831778</v>
      </c>
    </row>
    <row r="79" spans="1:11" x14ac:dyDescent="0.3">
      <c r="A79" s="17" t="s">
        <v>63</v>
      </c>
      <c r="B79" s="15" t="s">
        <v>109</v>
      </c>
      <c r="C79" s="16" t="s">
        <v>99</v>
      </c>
      <c r="D79" s="17" t="s">
        <v>103</v>
      </c>
      <c r="E79" s="17" t="s">
        <v>20</v>
      </c>
      <c r="F79" s="17" t="s">
        <v>110</v>
      </c>
      <c r="G79" s="17" t="s">
        <v>68</v>
      </c>
      <c r="H79" s="17" t="s">
        <v>33</v>
      </c>
      <c r="I79" s="17">
        <v>4168</v>
      </c>
      <c r="J79" s="17">
        <v>769</v>
      </c>
      <c r="K79" s="18">
        <v>3205192</v>
      </c>
    </row>
    <row r="80" spans="1:11" x14ac:dyDescent="0.3">
      <c r="A80" s="17" t="s">
        <v>63</v>
      </c>
      <c r="B80" s="15" t="s">
        <v>111</v>
      </c>
      <c r="C80" s="16" t="s">
        <v>99</v>
      </c>
      <c r="D80" s="17" t="s">
        <v>103</v>
      </c>
      <c r="E80" s="17" t="s">
        <v>9</v>
      </c>
      <c r="F80" s="17" t="s">
        <v>10</v>
      </c>
      <c r="G80" s="17" t="s">
        <v>10</v>
      </c>
      <c r="H80" s="17" t="s">
        <v>33</v>
      </c>
      <c r="I80" s="17">
        <v>5773</v>
      </c>
      <c r="J80" s="17">
        <v>627</v>
      </c>
      <c r="K80" s="18">
        <v>3619671</v>
      </c>
    </row>
    <row r="81" spans="1:11" x14ac:dyDescent="0.3">
      <c r="A81" s="17" t="s">
        <v>63</v>
      </c>
      <c r="B81" s="15" t="s">
        <v>112</v>
      </c>
      <c r="C81" s="16" t="s">
        <v>99</v>
      </c>
      <c r="D81" s="17" t="s">
        <v>103</v>
      </c>
      <c r="E81" s="17" t="s">
        <v>14</v>
      </c>
      <c r="F81" s="17" t="s">
        <v>15</v>
      </c>
      <c r="G81" s="17" t="s">
        <v>64</v>
      </c>
      <c r="H81" s="17" t="s">
        <v>33</v>
      </c>
      <c r="I81" s="17">
        <v>8417</v>
      </c>
      <c r="J81" s="17">
        <v>918</v>
      </c>
      <c r="K81" s="18">
        <v>7726806</v>
      </c>
    </row>
    <row r="82" spans="1:11" x14ac:dyDescent="0.3">
      <c r="A82" s="17" t="s">
        <v>63</v>
      </c>
      <c r="B82" s="15" t="s">
        <v>113</v>
      </c>
      <c r="C82" s="16" t="s">
        <v>99</v>
      </c>
      <c r="D82" s="17" t="s">
        <v>103</v>
      </c>
      <c r="E82" s="17" t="s">
        <v>17</v>
      </c>
      <c r="F82" s="17" t="s">
        <v>18</v>
      </c>
      <c r="G82" s="17" t="s">
        <v>65</v>
      </c>
      <c r="H82" s="17" t="s">
        <v>33</v>
      </c>
      <c r="I82" s="17">
        <v>4691</v>
      </c>
      <c r="J82" s="17">
        <v>901</v>
      </c>
      <c r="K82" s="18">
        <v>4226591</v>
      </c>
    </row>
    <row r="83" spans="1:11" x14ac:dyDescent="0.3">
      <c r="A83" s="17" t="s">
        <v>63</v>
      </c>
      <c r="B83" s="15" t="s">
        <v>114</v>
      </c>
      <c r="C83" s="16" t="s">
        <v>99</v>
      </c>
      <c r="D83" s="17" t="s">
        <v>103</v>
      </c>
      <c r="E83" s="17" t="s">
        <v>20</v>
      </c>
      <c r="F83" s="17" t="s">
        <v>21</v>
      </c>
      <c r="G83" s="17" t="s">
        <v>66</v>
      </c>
      <c r="H83" s="17" t="s">
        <v>33</v>
      </c>
      <c r="I83" s="17">
        <v>5945</v>
      </c>
      <c r="J83" s="17">
        <v>887</v>
      </c>
      <c r="K83" s="18">
        <v>5273215</v>
      </c>
    </row>
    <row r="84" spans="1:11" x14ac:dyDescent="0.3">
      <c r="A84" s="17" t="s">
        <v>63</v>
      </c>
      <c r="B84" s="15" t="s">
        <v>115</v>
      </c>
      <c r="C84" s="16" t="s">
        <v>99</v>
      </c>
      <c r="D84" s="17" t="s">
        <v>103</v>
      </c>
      <c r="E84" s="17" t="s">
        <v>20</v>
      </c>
      <c r="F84" s="17" t="s">
        <v>24</v>
      </c>
      <c r="G84" s="17" t="s">
        <v>68</v>
      </c>
      <c r="H84" s="17" t="s">
        <v>33</v>
      </c>
      <c r="I84" s="17">
        <v>6807</v>
      </c>
      <c r="J84" s="17">
        <v>607</v>
      </c>
      <c r="K84" s="18">
        <v>4131849</v>
      </c>
    </row>
    <row r="85" spans="1:11" x14ac:dyDescent="0.3">
      <c r="A85" s="17" t="s">
        <v>63</v>
      </c>
      <c r="B85" s="15" t="s">
        <v>116</v>
      </c>
      <c r="C85" s="16" t="s">
        <v>99</v>
      </c>
      <c r="D85" s="17" t="s">
        <v>103</v>
      </c>
      <c r="E85" s="17" t="s">
        <v>20</v>
      </c>
      <c r="F85" s="17" t="s">
        <v>26</v>
      </c>
      <c r="G85" s="17" t="s">
        <v>69</v>
      </c>
      <c r="H85" s="17" t="s">
        <v>11</v>
      </c>
      <c r="I85" s="17">
        <v>3546</v>
      </c>
      <c r="J85" s="17">
        <v>562</v>
      </c>
      <c r="K85" s="18">
        <v>1992852</v>
      </c>
    </row>
    <row r="86" spans="1:11" x14ac:dyDescent="0.3">
      <c r="A86" s="17" t="s">
        <v>63</v>
      </c>
      <c r="B86" s="15" t="s">
        <v>117</v>
      </c>
      <c r="C86" s="16" t="s">
        <v>99</v>
      </c>
      <c r="D86" s="17" t="s">
        <v>103</v>
      </c>
      <c r="E86" s="17" t="s">
        <v>14</v>
      </c>
      <c r="F86" s="17" t="s">
        <v>28</v>
      </c>
      <c r="G86" s="17" t="s">
        <v>70</v>
      </c>
      <c r="H86" s="17" t="s">
        <v>11</v>
      </c>
      <c r="I86" s="17">
        <v>9463</v>
      </c>
      <c r="J86" s="17">
        <v>615</v>
      </c>
      <c r="K86" s="18">
        <v>5819745</v>
      </c>
    </row>
    <row r="87" spans="1:11" x14ac:dyDescent="0.3">
      <c r="A87" s="17" t="s">
        <v>63</v>
      </c>
      <c r="B87" s="15" t="s">
        <v>118</v>
      </c>
      <c r="C87" s="16" t="s">
        <v>99</v>
      </c>
      <c r="D87" s="17" t="s">
        <v>103</v>
      </c>
      <c r="E87" s="17" t="s">
        <v>14</v>
      </c>
      <c r="F87" s="17" t="s">
        <v>30</v>
      </c>
      <c r="G87" s="17" t="s">
        <v>64</v>
      </c>
      <c r="H87" s="17" t="s">
        <v>11</v>
      </c>
      <c r="I87" s="17">
        <v>9927</v>
      </c>
      <c r="J87" s="17">
        <v>631</v>
      </c>
      <c r="K87" s="18">
        <v>6263937</v>
      </c>
    </row>
    <row r="88" spans="1:11" x14ac:dyDescent="0.3">
      <c r="A88" s="17" t="s">
        <v>67</v>
      </c>
      <c r="B88" s="15" t="s">
        <v>119</v>
      </c>
      <c r="C88" s="16" t="s">
        <v>99</v>
      </c>
      <c r="D88" s="17" t="s">
        <v>72</v>
      </c>
      <c r="E88" s="17" t="s">
        <v>9</v>
      </c>
      <c r="F88" s="17" t="s">
        <v>32</v>
      </c>
      <c r="G88" s="17" t="s">
        <v>93</v>
      </c>
      <c r="H88" s="17" t="s">
        <v>11</v>
      </c>
      <c r="I88" s="17">
        <v>1666</v>
      </c>
      <c r="J88" s="17">
        <v>714</v>
      </c>
      <c r="K88" s="18">
        <v>1189524</v>
      </c>
    </row>
    <row r="89" spans="1:11" x14ac:dyDescent="0.3">
      <c r="A89" s="17" t="s">
        <v>67</v>
      </c>
      <c r="B89" s="15" t="s">
        <v>120</v>
      </c>
      <c r="C89" s="16" t="s">
        <v>99</v>
      </c>
      <c r="D89" s="17" t="s">
        <v>72</v>
      </c>
      <c r="E89" s="17" t="s">
        <v>14</v>
      </c>
      <c r="F89" s="17" t="s">
        <v>35</v>
      </c>
      <c r="G89" s="17" t="s">
        <v>70</v>
      </c>
      <c r="H89" s="17" t="s">
        <v>11</v>
      </c>
      <c r="I89" s="17">
        <v>9392</v>
      </c>
      <c r="J89" s="17">
        <v>631</v>
      </c>
      <c r="K89" s="18">
        <v>5926352</v>
      </c>
    </row>
    <row r="90" spans="1:11" x14ac:dyDescent="0.3">
      <c r="A90" s="17" t="s">
        <v>67</v>
      </c>
      <c r="B90" s="15" t="s">
        <v>121</v>
      </c>
      <c r="C90" s="16" t="s">
        <v>99</v>
      </c>
      <c r="D90" s="17" t="s">
        <v>72</v>
      </c>
      <c r="E90" s="17" t="s">
        <v>9</v>
      </c>
      <c r="F90" s="17" t="s">
        <v>37</v>
      </c>
      <c r="G90" s="17" t="s">
        <v>84</v>
      </c>
      <c r="H90" s="17" t="s">
        <v>33</v>
      </c>
      <c r="I90" s="17">
        <v>7124</v>
      </c>
      <c r="J90" s="17">
        <v>693</v>
      </c>
      <c r="K90" s="18">
        <v>4936932</v>
      </c>
    </row>
    <row r="91" spans="1:11" x14ac:dyDescent="0.3">
      <c r="A91" s="17" t="s">
        <v>67</v>
      </c>
      <c r="B91" s="15" t="s">
        <v>122</v>
      </c>
      <c r="C91" s="16" t="s">
        <v>99</v>
      </c>
      <c r="D91" s="17" t="s">
        <v>72</v>
      </c>
      <c r="E91" s="17" t="s">
        <v>9</v>
      </c>
      <c r="F91" s="17" t="s">
        <v>39</v>
      </c>
      <c r="G91" s="17" t="s">
        <v>84</v>
      </c>
      <c r="H91" s="17" t="s">
        <v>33</v>
      </c>
      <c r="I91" s="17">
        <v>9636</v>
      </c>
      <c r="J91" s="17">
        <v>873</v>
      </c>
      <c r="K91" s="18">
        <v>8412228</v>
      </c>
    </row>
    <row r="92" spans="1:11" x14ac:dyDescent="0.3">
      <c r="A92" s="17" t="s">
        <v>67</v>
      </c>
      <c r="B92" s="15" t="s">
        <v>123</v>
      </c>
      <c r="C92" s="16" t="s">
        <v>99</v>
      </c>
      <c r="D92" s="17" t="s">
        <v>72</v>
      </c>
      <c r="E92" s="17" t="s">
        <v>14</v>
      </c>
      <c r="F92" s="17" t="s">
        <v>41</v>
      </c>
      <c r="G92" s="17" t="s">
        <v>64</v>
      </c>
      <c r="H92" s="17" t="s">
        <v>33</v>
      </c>
      <c r="I92" s="17">
        <v>6596</v>
      </c>
      <c r="J92" s="17">
        <v>811</v>
      </c>
      <c r="K92" s="18">
        <v>5349356</v>
      </c>
    </row>
    <row r="93" spans="1:11" x14ac:dyDescent="0.3">
      <c r="A93" s="17" t="s">
        <v>67</v>
      </c>
      <c r="B93" s="15" t="s">
        <v>124</v>
      </c>
      <c r="C93" s="16" t="s">
        <v>99</v>
      </c>
      <c r="D93" s="17" t="s">
        <v>72</v>
      </c>
      <c r="E93" s="17" t="s">
        <v>43</v>
      </c>
      <c r="F93" s="17" t="s">
        <v>44</v>
      </c>
      <c r="G93" s="17" t="s">
        <v>74</v>
      </c>
      <c r="H93" s="17" t="s">
        <v>33</v>
      </c>
      <c r="I93" s="17">
        <v>6338</v>
      </c>
      <c r="J93" s="17">
        <v>540</v>
      </c>
      <c r="K93" s="18">
        <v>3422520</v>
      </c>
    </row>
    <row r="94" spans="1:11" x14ac:dyDescent="0.3">
      <c r="A94" s="17" t="s">
        <v>67</v>
      </c>
      <c r="B94" s="15" t="s">
        <v>125</v>
      </c>
      <c r="C94" s="16" t="s">
        <v>99</v>
      </c>
      <c r="D94" s="17" t="s">
        <v>72</v>
      </c>
      <c r="E94" s="17" t="s">
        <v>14</v>
      </c>
      <c r="F94" s="17" t="s">
        <v>47</v>
      </c>
      <c r="G94" s="17" t="s">
        <v>64</v>
      </c>
      <c r="H94" s="17" t="s">
        <v>33</v>
      </c>
      <c r="I94" s="17">
        <v>8446</v>
      </c>
      <c r="J94" s="17">
        <v>812</v>
      </c>
      <c r="K94" s="18">
        <v>6858152</v>
      </c>
    </row>
    <row r="95" spans="1:11" x14ac:dyDescent="0.3">
      <c r="A95" s="17" t="s">
        <v>67</v>
      </c>
      <c r="B95" s="15" t="s">
        <v>71</v>
      </c>
      <c r="C95" s="16" t="s">
        <v>99</v>
      </c>
      <c r="D95" s="17" t="s">
        <v>72</v>
      </c>
      <c r="E95" s="17" t="s">
        <v>49</v>
      </c>
      <c r="F95" s="17" t="s">
        <v>50</v>
      </c>
      <c r="G95" s="17" t="s">
        <v>50</v>
      </c>
      <c r="H95" s="17" t="s">
        <v>33</v>
      </c>
      <c r="I95" s="17">
        <v>9102</v>
      </c>
      <c r="J95" s="17">
        <v>894</v>
      </c>
      <c r="K95" s="18">
        <v>8137188</v>
      </c>
    </row>
    <row r="96" spans="1:11" x14ac:dyDescent="0.3">
      <c r="A96" s="17" t="s">
        <v>67</v>
      </c>
      <c r="B96" s="15" t="s">
        <v>73</v>
      </c>
      <c r="C96" s="16" t="s">
        <v>99</v>
      </c>
      <c r="D96" s="17" t="s">
        <v>72</v>
      </c>
      <c r="E96" s="17" t="s">
        <v>43</v>
      </c>
      <c r="F96" s="17" t="s">
        <v>52</v>
      </c>
      <c r="G96" s="17" t="s">
        <v>74</v>
      </c>
      <c r="H96" s="17" t="s">
        <v>33</v>
      </c>
      <c r="I96" s="17">
        <v>3887</v>
      </c>
      <c r="J96" s="17">
        <v>912</v>
      </c>
      <c r="K96" s="18">
        <v>3544944</v>
      </c>
    </row>
    <row r="97" spans="1:11" x14ac:dyDescent="0.3">
      <c r="A97" s="17" t="s">
        <v>67</v>
      </c>
      <c r="B97" s="15" t="s">
        <v>75</v>
      </c>
      <c r="C97" s="16" t="s">
        <v>99</v>
      </c>
      <c r="D97" s="17" t="s">
        <v>72</v>
      </c>
      <c r="E97" s="17" t="s">
        <v>20</v>
      </c>
      <c r="F97" s="17" t="s">
        <v>54</v>
      </c>
      <c r="G97" s="17" t="s">
        <v>76</v>
      </c>
      <c r="H97" s="17" t="s">
        <v>11</v>
      </c>
      <c r="I97" s="17">
        <v>9519</v>
      </c>
      <c r="J97" s="17">
        <v>970</v>
      </c>
      <c r="K97" s="18">
        <v>9233430</v>
      </c>
    </row>
    <row r="98" spans="1:11" x14ac:dyDescent="0.3">
      <c r="A98" s="17" t="s">
        <v>67</v>
      </c>
      <c r="B98" s="15" t="s">
        <v>77</v>
      </c>
      <c r="C98" s="16" t="s">
        <v>99</v>
      </c>
      <c r="D98" s="17" t="s">
        <v>72</v>
      </c>
      <c r="E98" s="17" t="s">
        <v>17</v>
      </c>
      <c r="F98" s="17" t="s">
        <v>56</v>
      </c>
      <c r="G98" s="17" t="s">
        <v>78</v>
      </c>
      <c r="H98" s="17" t="s">
        <v>11</v>
      </c>
      <c r="I98" s="17">
        <v>8983</v>
      </c>
      <c r="J98" s="17">
        <v>840</v>
      </c>
      <c r="K98" s="18">
        <v>7545720</v>
      </c>
    </row>
    <row r="99" spans="1:11" x14ac:dyDescent="0.3">
      <c r="A99" s="17" t="s">
        <v>67</v>
      </c>
      <c r="B99" s="15" t="s">
        <v>79</v>
      </c>
      <c r="C99" s="16" t="s">
        <v>99</v>
      </c>
      <c r="D99" s="17" t="s">
        <v>72</v>
      </c>
      <c r="E99" s="17" t="s">
        <v>14</v>
      </c>
      <c r="F99" s="17" t="s">
        <v>80</v>
      </c>
      <c r="G99" s="17" t="s">
        <v>70</v>
      </c>
      <c r="H99" s="17" t="s">
        <v>11</v>
      </c>
      <c r="I99" s="17">
        <v>6892</v>
      </c>
      <c r="J99" s="17">
        <v>643</v>
      </c>
      <c r="K99" s="18">
        <v>4431556</v>
      </c>
    </row>
    <row r="100" spans="1:11" x14ac:dyDescent="0.3">
      <c r="A100" s="17" t="s">
        <v>67</v>
      </c>
      <c r="B100" s="15" t="s">
        <v>81</v>
      </c>
      <c r="C100" s="16" t="s">
        <v>99</v>
      </c>
      <c r="D100" s="17" t="s">
        <v>82</v>
      </c>
      <c r="E100" s="17" t="s">
        <v>9</v>
      </c>
      <c r="F100" s="17" t="s">
        <v>83</v>
      </c>
      <c r="G100" s="17" t="s">
        <v>84</v>
      </c>
      <c r="H100" s="17" t="s">
        <v>11</v>
      </c>
      <c r="I100" s="17">
        <v>6946</v>
      </c>
      <c r="J100" s="17">
        <v>882</v>
      </c>
      <c r="K100" s="18">
        <v>6126372</v>
      </c>
    </row>
    <row r="101" spans="1:11" x14ac:dyDescent="0.3">
      <c r="A101" s="17" t="s">
        <v>67</v>
      </c>
      <c r="B101" s="15" t="s">
        <v>85</v>
      </c>
      <c r="C101" s="16" t="s">
        <v>99</v>
      </c>
      <c r="D101" s="17" t="s">
        <v>82</v>
      </c>
      <c r="E101" s="17" t="s">
        <v>9</v>
      </c>
      <c r="F101" s="17" t="s">
        <v>86</v>
      </c>
      <c r="G101" s="17" t="s">
        <v>84</v>
      </c>
      <c r="H101" s="17" t="s">
        <v>33</v>
      </c>
      <c r="I101" s="17">
        <v>8990</v>
      </c>
      <c r="J101" s="17">
        <v>666</v>
      </c>
      <c r="K101" s="18">
        <v>5987340</v>
      </c>
    </row>
    <row r="102" spans="1:11" x14ac:dyDescent="0.3">
      <c r="A102" s="17" t="s">
        <v>67</v>
      </c>
      <c r="B102" s="15" t="s">
        <v>87</v>
      </c>
      <c r="C102" s="16" t="s">
        <v>99</v>
      </c>
      <c r="D102" s="17" t="s">
        <v>82</v>
      </c>
      <c r="E102" s="17" t="s">
        <v>20</v>
      </c>
      <c r="F102" s="17" t="s">
        <v>88</v>
      </c>
      <c r="G102" s="17" t="s">
        <v>66</v>
      </c>
      <c r="H102" s="17" t="s">
        <v>11</v>
      </c>
      <c r="I102" s="17">
        <v>5594</v>
      </c>
      <c r="J102" s="17">
        <v>615</v>
      </c>
      <c r="K102" s="18">
        <v>3440310</v>
      </c>
    </row>
    <row r="103" spans="1:11" x14ac:dyDescent="0.3">
      <c r="A103" s="17" t="s">
        <v>67</v>
      </c>
      <c r="B103" s="15" t="s">
        <v>89</v>
      </c>
      <c r="C103" s="16" t="s">
        <v>99</v>
      </c>
      <c r="D103" s="17" t="s">
        <v>82</v>
      </c>
      <c r="E103" s="17" t="s">
        <v>20</v>
      </c>
      <c r="F103" s="17" t="s">
        <v>90</v>
      </c>
      <c r="G103" s="17" t="s">
        <v>66</v>
      </c>
      <c r="H103" s="17" t="s">
        <v>11</v>
      </c>
      <c r="I103" s="17">
        <v>5491</v>
      </c>
      <c r="J103" s="17">
        <v>601</v>
      </c>
      <c r="K103" s="18">
        <v>3300091</v>
      </c>
    </row>
    <row r="104" spans="1:11" x14ac:dyDescent="0.3">
      <c r="A104" s="17" t="s">
        <v>67</v>
      </c>
      <c r="B104" s="15" t="s">
        <v>91</v>
      </c>
      <c r="C104" s="16" t="s">
        <v>99</v>
      </c>
      <c r="D104" s="17" t="s">
        <v>82</v>
      </c>
      <c r="E104" s="17" t="s">
        <v>9</v>
      </c>
      <c r="F104" s="17" t="s">
        <v>92</v>
      </c>
      <c r="G104" s="17" t="s">
        <v>93</v>
      </c>
      <c r="H104" s="17" t="s">
        <v>11</v>
      </c>
      <c r="I104" s="17">
        <v>7225</v>
      </c>
      <c r="J104" s="17">
        <v>711</v>
      </c>
      <c r="K104" s="18">
        <v>5136975</v>
      </c>
    </row>
    <row r="105" spans="1:11" x14ac:dyDescent="0.3">
      <c r="A105" s="17" t="s">
        <v>67</v>
      </c>
      <c r="B105" s="15" t="s">
        <v>94</v>
      </c>
      <c r="C105" s="16" t="s">
        <v>99</v>
      </c>
      <c r="D105" s="17" t="s">
        <v>82</v>
      </c>
      <c r="E105" s="17" t="s">
        <v>9</v>
      </c>
      <c r="F105" s="17" t="s">
        <v>95</v>
      </c>
      <c r="G105" s="17" t="s">
        <v>84</v>
      </c>
      <c r="H105" s="17" t="s">
        <v>11</v>
      </c>
      <c r="I105" s="17">
        <v>2966</v>
      </c>
      <c r="J105" s="17">
        <v>977</v>
      </c>
      <c r="K105" s="18">
        <v>2897782</v>
      </c>
    </row>
    <row r="106" spans="1:11" x14ac:dyDescent="0.3">
      <c r="A106" s="17" t="s">
        <v>67</v>
      </c>
      <c r="B106" s="15" t="s">
        <v>96</v>
      </c>
      <c r="C106" s="16" t="s">
        <v>99</v>
      </c>
      <c r="D106" s="17" t="s">
        <v>82</v>
      </c>
      <c r="E106" s="17" t="s">
        <v>17</v>
      </c>
      <c r="F106" s="17" t="s">
        <v>97</v>
      </c>
      <c r="G106" s="17" t="s">
        <v>98</v>
      </c>
      <c r="H106" s="17" t="s">
        <v>33</v>
      </c>
      <c r="I106" s="17">
        <v>2421</v>
      </c>
      <c r="J106" s="17">
        <v>765</v>
      </c>
      <c r="K106" s="18">
        <v>1852065</v>
      </c>
    </row>
    <row r="107" spans="1:11" x14ac:dyDescent="0.3">
      <c r="A107" s="17" t="s">
        <v>67</v>
      </c>
      <c r="B107" s="15" t="s">
        <v>156</v>
      </c>
      <c r="C107" s="16" t="s">
        <v>99</v>
      </c>
      <c r="D107" s="17" t="s">
        <v>82</v>
      </c>
      <c r="E107" s="17" t="s">
        <v>20</v>
      </c>
      <c r="F107" s="17" t="s">
        <v>134</v>
      </c>
      <c r="G107" s="17" t="s">
        <v>135</v>
      </c>
      <c r="H107" s="17" t="s">
        <v>33</v>
      </c>
      <c r="I107" s="17">
        <v>8893</v>
      </c>
      <c r="J107" s="17">
        <v>848</v>
      </c>
      <c r="K107" s="18">
        <v>7541264</v>
      </c>
    </row>
    <row r="108" spans="1:11" x14ac:dyDescent="0.3">
      <c r="A108" s="17" t="s">
        <v>67</v>
      </c>
      <c r="B108" s="15" t="s">
        <v>157</v>
      </c>
      <c r="C108" s="16" t="s">
        <v>99</v>
      </c>
      <c r="D108" s="17" t="s">
        <v>82</v>
      </c>
      <c r="E108" s="17" t="s">
        <v>14</v>
      </c>
      <c r="F108" s="17" t="s">
        <v>137</v>
      </c>
      <c r="G108" s="17" t="s">
        <v>64</v>
      </c>
      <c r="H108" s="17" t="s">
        <v>33</v>
      </c>
      <c r="I108" s="17">
        <v>4938</v>
      </c>
      <c r="J108" s="17">
        <v>726</v>
      </c>
      <c r="K108" s="18">
        <v>3584988</v>
      </c>
    </row>
    <row r="109" spans="1:11" x14ac:dyDescent="0.3">
      <c r="A109" s="17" t="s">
        <v>67</v>
      </c>
      <c r="B109" s="15" t="s">
        <v>158</v>
      </c>
      <c r="C109" s="16" t="s">
        <v>99</v>
      </c>
      <c r="D109" s="17" t="s">
        <v>82</v>
      </c>
      <c r="E109" s="17" t="s">
        <v>9</v>
      </c>
      <c r="F109" s="17" t="s">
        <v>139</v>
      </c>
      <c r="G109" s="17" t="s">
        <v>140</v>
      </c>
      <c r="H109" s="17" t="s">
        <v>33</v>
      </c>
      <c r="I109" s="17">
        <v>4836</v>
      </c>
      <c r="J109" s="17">
        <v>783</v>
      </c>
      <c r="K109" s="18">
        <v>3786588</v>
      </c>
    </row>
    <row r="110" spans="1:11" x14ac:dyDescent="0.3">
      <c r="A110" s="17" t="s">
        <v>67</v>
      </c>
      <c r="B110" s="15" t="s">
        <v>159</v>
      </c>
      <c r="C110" s="16" t="s">
        <v>99</v>
      </c>
      <c r="D110" s="17" t="s">
        <v>82</v>
      </c>
      <c r="E110" s="17" t="s">
        <v>9</v>
      </c>
      <c r="F110" s="17" t="s">
        <v>142</v>
      </c>
      <c r="G110" s="17" t="s">
        <v>143</v>
      </c>
      <c r="H110" s="17" t="s">
        <v>33</v>
      </c>
      <c r="I110" s="17">
        <v>3490</v>
      </c>
      <c r="J110" s="17">
        <v>889</v>
      </c>
      <c r="K110" s="18">
        <v>3102610</v>
      </c>
    </row>
    <row r="111" spans="1:11" x14ac:dyDescent="0.3">
      <c r="A111" s="17" t="s">
        <v>161</v>
      </c>
      <c r="B111" s="15" t="s">
        <v>160</v>
      </c>
      <c r="C111" s="16" t="s">
        <v>99</v>
      </c>
      <c r="D111" s="17" t="s">
        <v>162</v>
      </c>
      <c r="E111" s="17" t="s">
        <v>145</v>
      </c>
      <c r="F111" s="17" t="s">
        <v>146</v>
      </c>
      <c r="G111" s="17" t="s">
        <v>147</v>
      </c>
      <c r="H111" s="17" t="s">
        <v>33</v>
      </c>
      <c r="I111" s="17">
        <v>1921</v>
      </c>
      <c r="J111" s="17">
        <v>568</v>
      </c>
      <c r="K111" s="18">
        <v>1091128</v>
      </c>
    </row>
    <row r="112" spans="1:11" x14ac:dyDescent="0.3">
      <c r="A112" s="17" t="s">
        <v>161</v>
      </c>
      <c r="B112" s="15" t="s">
        <v>163</v>
      </c>
      <c r="C112" s="16" t="s">
        <v>99</v>
      </c>
      <c r="D112" s="17" t="s">
        <v>162</v>
      </c>
      <c r="E112" s="17" t="s">
        <v>9</v>
      </c>
      <c r="F112" s="17" t="s">
        <v>149</v>
      </c>
      <c r="G112" s="17" t="s">
        <v>150</v>
      </c>
      <c r="H112" s="17" t="s">
        <v>33</v>
      </c>
      <c r="I112" s="17">
        <v>5036</v>
      </c>
      <c r="J112" s="17">
        <v>745</v>
      </c>
      <c r="K112" s="18">
        <v>3751820</v>
      </c>
    </row>
    <row r="113" spans="1:11" x14ac:dyDescent="0.3">
      <c r="A113" s="17" t="s">
        <v>161</v>
      </c>
      <c r="B113" s="15" t="s">
        <v>164</v>
      </c>
      <c r="C113" s="16" t="s">
        <v>99</v>
      </c>
      <c r="D113" s="17" t="s">
        <v>162</v>
      </c>
      <c r="E113" s="17" t="s">
        <v>43</v>
      </c>
      <c r="F113" s="17" t="s">
        <v>152</v>
      </c>
      <c r="G113" s="17" t="s">
        <v>153</v>
      </c>
      <c r="H113" s="17" t="s">
        <v>33</v>
      </c>
      <c r="I113" s="17">
        <v>6124</v>
      </c>
      <c r="J113" s="17">
        <v>634</v>
      </c>
      <c r="K113" s="18">
        <v>3882616</v>
      </c>
    </row>
    <row r="114" spans="1:11" x14ac:dyDescent="0.3">
      <c r="A114" s="17" t="s">
        <v>161</v>
      </c>
      <c r="B114" s="15" t="s">
        <v>165</v>
      </c>
      <c r="C114" s="16" t="s">
        <v>99</v>
      </c>
      <c r="D114" s="17" t="s">
        <v>162</v>
      </c>
      <c r="E114" s="17" t="s">
        <v>17</v>
      </c>
      <c r="F114" s="17" t="s">
        <v>155</v>
      </c>
      <c r="G114" s="17" t="s">
        <v>65</v>
      </c>
      <c r="H114" s="17" t="s">
        <v>33</v>
      </c>
      <c r="I114" s="17">
        <v>6233</v>
      </c>
      <c r="J114" s="17">
        <v>675</v>
      </c>
      <c r="K114" s="18">
        <v>4207275</v>
      </c>
    </row>
    <row r="115" spans="1:11" x14ac:dyDescent="0.3">
      <c r="A115" s="17" t="s">
        <v>161</v>
      </c>
      <c r="B115" s="15" t="s">
        <v>166</v>
      </c>
      <c r="C115" s="16" t="s">
        <v>99</v>
      </c>
      <c r="D115" s="17" t="s">
        <v>162</v>
      </c>
      <c r="E115" s="17" t="s">
        <v>17</v>
      </c>
      <c r="F115" s="17" t="s">
        <v>18</v>
      </c>
      <c r="G115" s="17" t="s">
        <v>65</v>
      </c>
      <c r="H115" s="17" t="s">
        <v>33</v>
      </c>
      <c r="I115" s="17">
        <v>9156</v>
      </c>
      <c r="J115" s="17">
        <v>778</v>
      </c>
      <c r="K115" s="18">
        <v>7123368</v>
      </c>
    </row>
    <row r="116" spans="1:11" x14ac:dyDescent="0.3">
      <c r="A116" s="17" t="s">
        <v>161</v>
      </c>
      <c r="B116" s="15" t="s">
        <v>167</v>
      </c>
      <c r="C116" s="16" t="s">
        <v>99</v>
      </c>
      <c r="D116" s="17" t="s">
        <v>162</v>
      </c>
      <c r="E116" s="17" t="s">
        <v>43</v>
      </c>
      <c r="F116" s="17" t="s">
        <v>104</v>
      </c>
      <c r="G116" s="17" t="s">
        <v>74</v>
      </c>
      <c r="H116" s="17" t="s">
        <v>11</v>
      </c>
      <c r="I116" s="17">
        <v>3687</v>
      </c>
      <c r="J116" s="17">
        <v>867</v>
      </c>
      <c r="K116" s="18">
        <v>3196629</v>
      </c>
    </row>
    <row r="117" spans="1:11" x14ac:dyDescent="0.3">
      <c r="A117" s="17" t="s">
        <v>161</v>
      </c>
      <c r="B117" s="15" t="s">
        <v>168</v>
      </c>
      <c r="C117" s="16" t="s">
        <v>99</v>
      </c>
      <c r="D117" s="17" t="s">
        <v>162</v>
      </c>
      <c r="E117" s="17" t="s">
        <v>17</v>
      </c>
      <c r="F117" s="17" t="s">
        <v>106</v>
      </c>
      <c r="G117" s="17" t="s">
        <v>98</v>
      </c>
      <c r="H117" s="17" t="s">
        <v>11</v>
      </c>
      <c r="I117" s="17">
        <v>3165</v>
      </c>
      <c r="J117" s="17">
        <v>903</v>
      </c>
      <c r="K117" s="18">
        <v>2857995</v>
      </c>
    </row>
    <row r="118" spans="1:11" x14ac:dyDescent="0.3">
      <c r="A118" s="17" t="s">
        <v>67</v>
      </c>
      <c r="B118" s="15" t="s">
        <v>169</v>
      </c>
      <c r="C118" s="16" t="s">
        <v>99</v>
      </c>
      <c r="D118" s="17" t="s">
        <v>72</v>
      </c>
      <c r="E118" s="17" t="s">
        <v>17</v>
      </c>
      <c r="F118" s="17" t="s">
        <v>108</v>
      </c>
      <c r="G118" s="17" t="s">
        <v>65</v>
      </c>
      <c r="H118" s="17" t="s">
        <v>11</v>
      </c>
      <c r="I118" s="17">
        <v>1580</v>
      </c>
      <c r="J118" s="17">
        <v>718</v>
      </c>
      <c r="K118" s="18">
        <v>1134440</v>
      </c>
    </row>
    <row r="119" spans="1:11" x14ac:dyDescent="0.3">
      <c r="A119" s="17" t="s">
        <v>67</v>
      </c>
      <c r="B119" s="15" t="s">
        <v>170</v>
      </c>
      <c r="C119" s="16" t="s">
        <v>99</v>
      </c>
      <c r="D119" s="17" t="s">
        <v>72</v>
      </c>
      <c r="E119" s="17" t="s">
        <v>20</v>
      </c>
      <c r="F119" s="17" t="s">
        <v>110</v>
      </c>
      <c r="G119" s="17" t="s">
        <v>68</v>
      </c>
      <c r="H119" s="17" t="s">
        <v>11</v>
      </c>
      <c r="I119" s="17">
        <v>5627</v>
      </c>
      <c r="J119" s="17">
        <v>539</v>
      </c>
      <c r="K119" s="18">
        <v>3032953</v>
      </c>
    </row>
    <row r="120" spans="1:11" x14ac:dyDescent="0.3">
      <c r="A120" s="17" t="s">
        <v>67</v>
      </c>
      <c r="B120" s="15" t="s">
        <v>171</v>
      </c>
      <c r="C120" s="16" t="s">
        <v>99</v>
      </c>
      <c r="D120" s="17" t="s">
        <v>72</v>
      </c>
      <c r="E120" s="17" t="s">
        <v>9</v>
      </c>
      <c r="F120" s="17" t="s">
        <v>10</v>
      </c>
      <c r="G120" s="17" t="s">
        <v>10</v>
      </c>
      <c r="H120" s="17" t="s">
        <v>11</v>
      </c>
      <c r="I120" s="17">
        <v>3396</v>
      </c>
      <c r="J120" s="17">
        <v>865</v>
      </c>
      <c r="K120" s="18">
        <v>2937540</v>
      </c>
    </row>
    <row r="121" spans="1:11" x14ac:dyDescent="0.3">
      <c r="A121" s="17" t="s">
        <v>67</v>
      </c>
      <c r="B121" s="15" t="s">
        <v>172</v>
      </c>
      <c r="C121" s="16" t="s">
        <v>99</v>
      </c>
      <c r="D121" s="17" t="s">
        <v>72</v>
      </c>
      <c r="E121" s="17" t="s">
        <v>14</v>
      </c>
      <c r="F121" s="17" t="s">
        <v>15</v>
      </c>
      <c r="G121" s="17" t="s">
        <v>64</v>
      </c>
      <c r="H121" s="17" t="s">
        <v>33</v>
      </c>
      <c r="I121" s="17">
        <v>7609</v>
      </c>
      <c r="J121" s="17">
        <v>636</v>
      </c>
      <c r="K121" s="18">
        <v>4839324</v>
      </c>
    </row>
    <row r="122" spans="1:11" x14ac:dyDescent="0.3">
      <c r="A122" s="17" t="s">
        <v>67</v>
      </c>
      <c r="B122" s="15" t="s">
        <v>173</v>
      </c>
      <c r="C122" s="16" t="s">
        <v>174</v>
      </c>
      <c r="D122" s="17" t="s">
        <v>72</v>
      </c>
      <c r="E122" s="17" t="s">
        <v>17</v>
      </c>
      <c r="F122" s="17" t="s">
        <v>18</v>
      </c>
      <c r="G122" s="17" t="s">
        <v>65</v>
      </c>
      <c r="H122" s="17" t="s">
        <v>33</v>
      </c>
      <c r="I122" s="17">
        <v>2460</v>
      </c>
      <c r="J122" s="17">
        <v>571</v>
      </c>
      <c r="K122" s="18">
        <v>1404660</v>
      </c>
    </row>
    <row r="123" spans="1:11" x14ac:dyDescent="0.3">
      <c r="A123" s="17" t="s">
        <v>67</v>
      </c>
      <c r="B123" s="15" t="s">
        <v>175</v>
      </c>
      <c r="C123" s="16" t="s">
        <v>174</v>
      </c>
      <c r="D123" s="17" t="s">
        <v>82</v>
      </c>
      <c r="E123" s="17" t="s">
        <v>20</v>
      </c>
      <c r="F123" s="17" t="s">
        <v>21</v>
      </c>
      <c r="G123" s="17" t="s">
        <v>66</v>
      </c>
      <c r="H123" s="17" t="s">
        <v>33</v>
      </c>
      <c r="I123" s="17">
        <v>8048</v>
      </c>
      <c r="J123" s="17">
        <v>648</v>
      </c>
      <c r="K123" s="18">
        <v>5215104</v>
      </c>
    </row>
    <row r="124" spans="1:11" x14ac:dyDescent="0.3">
      <c r="A124" s="17" t="s">
        <v>67</v>
      </c>
      <c r="B124" s="15" t="s">
        <v>176</v>
      </c>
      <c r="C124" s="16" t="s">
        <v>174</v>
      </c>
      <c r="D124" s="17" t="s">
        <v>82</v>
      </c>
      <c r="E124" s="17" t="s">
        <v>20</v>
      </c>
      <c r="F124" s="17" t="s">
        <v>24</v>
      </c>
      <c r="G124" s="17" t="s">
        <v>68</v>
      </c>
      <c r="H124" s="17" t="s">
        <v>11</v>
      </c>
      <c r="I124" s="17">
        <v>6821</v>
      </c>
      <c r="J124" s="17">
        <v>871</v>
      </c>
      <c r="K124" s="18">
        <v>5941091</v>
      </c>
    </row>
    <row r="125" spans="1:11" x14ac:dyDescent="0.3">
      <c r="A125" s="17" t="s">
        <v>67</v>
      </c>
      <c r="B125" s="15" t="s">
        <v>177</v>
      </c>
      <c r="C125" s="16" t="s">
        <v>174</v>
      </c>
      <c r="D125" s="17" t="s">
        <v>82</v>
      </c>
      <c r="E125" s="17" t="s">
        <v>20</v>
      </c>
      <c r="F125" s="17" t="s">
        <v>26</v>
      </c>
      <c r="G125" s="17" t="s">
        <v>69</v>
      </c>
      <c r="H125" s="17" t="s">
        <v>11</v>
      </c>
      <c r="I125" s="17">
        <v>1898</v>
      </c>
      <c r="J125" s="17">
        <v>726</v>
      </c>
      <c r="K125" s="18">
        <v>1377948</v>
      </c>
    </row>
    <row r="126" spans="1:11" x14ac:dyDescent="0.3">
      <c r="A126" s="17" t="s">
        <v>67</v>
      </c>
      <c r="B126" s="15" t="s">
        <v>178</v>
      </c>
      <c r="C126" s="16" t="s">
        <v>174</v>
      </c>
      <c r="D126" s="17" t="s">
        <v>82</v>
      </c>
      <c r="E126" s="17" t="s">
        <v>14</v>
      </c>
      <c r="F126" s="17" t="s">
        <v>28</v>
      </c>
      <c r="G126" s="17" t="s">
        <v>70</v>
      </c>
      <c r="H126" s="17" t="s">
        <v>11</v>
      </c>
      <c r="I126" s="17">
        <v>8320</v>
      </c>
      <c r="J126" s="17">
        <v>701</v>
      </c>
      <c r="K126" s="18">
        <v>5832320</v>
      </c>
    </row>
    <row r="127" spans="1:11" x14ac:dyDescent="0.3">
      <c r="A127" s="17" t="s">
        <v>67</v>
      </c>
      <c r="B127" s="15" t="s">
        <v>179</v>
      </c>
      <c r="C127" s="16" t="s">
        <v>174</v>
      </c>
      <c r="D127" s="17" t="s">
        <v>82</v>
      </c>
      <c r="E127" s="17" t="s">
        <v>14</v>
      </c>
      <c r="F127" s="17" t="s">
        <v>30</v>
      </c>
      <c r="G127" s="17" t="s">
        <v>64</v>
      </c>
      <c r="H127" s="17" t="s">
        <v>11</v>
      </c>
      <c r="I127" s="17">
        <v>7085</v>
      </c>
      <c r="J127" s="17">
        <v>980</v>
      </c>
      <c r="K127" s="18">
        <v>6943300</v>
      </c>
    </row>
    <row r="128" spans="1:11" x14ac:dyDescent="0.3">
      <c r="A128" s="17" t="s">
        <v>67</v>
      </c>
      <c r="B128" s="15" t="s">
        <v>180</v>
      </c>
      <c r="C128" s="16" t="s">
        <v>174</v>
      </c>
      <c r="D128" s="17" t="s">
        <v>82</v>
      </c>
      <c r="E128" s="17" t="s">
        <v>9</v>
      </c>
      <c r="F128" s="17" t="s">
        <v>32</v>
      </c>
      <c r="G128" s="17" t="s">
        <v>93</v>
      </c>
      <c r="H128" s="17" t="s">
        <v>11</v>
      </c>
      <c r="I128" s="17">
        <v>7382</v>
      </c>
      <c r="J128" s="17">
        <v>866</v>
      </c>
      <c r="K128" s="18">
        <v>6392812</v>
      </c>
    </row>
    <row r="129" spans="1:11" x14ac:dyDescent="0.3">
      <c r="A129" s="17" t="s">
        <v>161</v>
      </c>
      <c r="B129" s="15" t="s">
        <v>181</v>
      </c>
      <c r="C129" s="16" t="s">
        <v>174</v>
      </c>
      <c r="D129" s="17" t="s">
        <v>182</v>
      </c>
      <c r="E129" s="17" t="s">
        <v>14</v>
      </c>
      <c r="F129" s="17" t="s">
        <v>35</v>
      </c>
      <c r="G129" s="17" t="s">
        <v>70</v>
      </c>
      <c r="H129" s="17" t="s">
        <v>33</v>
      </c>
      <c r="I129" s="17">
        <v>4636</v>
      </c>
      <c r="J129" s="17">
        <v>976</v>
      </c>
      <c r="K129" s="18">
        <v>4524736</v>
      </c>
    </row>
    <row r="130" spans="1:11" x14ac:dyDescent="0.3">
      <c r="A130" s="17" t="s">
        <v>161</v>
      </c>
      <c r="B130" s="15" t="s">
        <v>183</v>
      </c>
      <c r="C130" s="16" t="s">
        <v>174</v>
      </c>
      <c r="D130" s="17" t="s">
        <v>182</v>
      </c>
      <c r="E130" s="17" t="s">
        <v>9</v>
      </c>
      <c r="F130" s="17" t="s">
        <v>37</v>
      </c>
      <c r="G130" s="17" t="s">
        <v>84</v>
      </c>
      <c r="H130" s="17" t="s">
        <v>33</v>
      </c>
      <c r="I130" s="17">
        <v>2540</v>
      </c>
      <c r="J130" s="17">
        <v>735</v>
      </c>
      <c r="K130" s="18">
        <v>1866900</v>
      </c>
    </row>
    <row r="131" spans="1:11" x14ac:dyDescent="0.3">
      <c r="A131" s="17" t="s">
        <v>161</v>
      </c>
      <c r="B131" s="15" t="s">
        <v>184</v>
      </c>
      <c r="C131" s="16" t="s">
        <v>174</v>
      </c>
      <c r="D131" s="17" t="s">
        <v>182</v>
      </c>
      <c r="E131" s="17" t="s">
        <v>9</v>
      </c>
      <c r="F131" s="17" t="s">
        <v>39</v>
      </c>
      <c r="G131" s="17" t="s">
        <v>84</v>
      </c>
      <c r="H131" s="17" t="s">
        <v>33</v>
      </c>
      <c r="I131" s="17">
        <v>6995</v>
      </c>
      <c r="J131" s="17">
        <v>959</v>
      </c>
      <c r="K131" s="18">
        <v>6708205</v>
      </c>
    </row>
    <row r="132" spans="1:11" x14ac:dyDescent="0.3">
      <c r="A132" s="17" t="s">
        <v>161</v>
      </c>
      <c r="B132" s="15" t="s">
        <v>185</v>
      </c>
      <c r="C132" s="16" t="s">
        <v>174</v>
      </c>
      <c r="D132" s="17" t="s">
        <v>182</v>
      </c>
      <c r="E132" s="17" t="s">
        <v>14</v>
      </c>
      <c r="F132" s="17" t="s">
        <v>41</v>
      </c>
      <c r="G132" s="17" t="s">
        <v>64</v>
      </c>
      <c r="H132" s="17" t="s">
        <v>33</v>
      </c>
      <c r="I132" s="17">
        <v>8442</v>
      </c>
      <c r="J132" s="17">
        <v>618</v>
      </c>
      <c r="K132" s="18">
        <v>5217156</v>
      </c>
    </row>
    <row r="133" spans="1:11" x14ac:dyDescent="0.3">
      <c r="A133" s="17" t="s">
        <v>161</v>
      </c>
      <c r="B133" s="15" t="s">
        <v>186</v>
      </c>
      <c r="C133" s="16" t="s">
        <v>174</v>
      </c>
      <c r="D133" s="17" t="s">
        <v>182</v>
      </c>
      <c r="E133" s="17" t="s">
        <v>43</v>
      </c>
      <c r="F133" s="17" t="s">
        <v>44</v>
      </c>
      <c r="G133" s="17" t="s">
        <v>74</v>
      </c>
      <c r="H133" s="17" t="s">
        <v>33</v>
      </c>
      <c r="I133" s="17">
        <v>8766</v>
      </c>
      <c r="J133" s="17">
        <v>813</v>
      </c>
      <c r="K133" s="18">
        <v>7126758</v>
      </c>
    </row>
    <row r="134" spans="1:11" x14ac:dyDescent="0.3">
      <c r="A134" s="17" t="s">
        <v>161</v>
      </c>
      <c r="B134" s="15" t="s">
        <v>187</v>
      </c>
      <c r="C134" s="16" t="s">
        <v>174</v>
      </c>
      <c r="D134" s="17" t="s">
        <v>182</v>
      </c>
      <c r="E134" s="17" t="s">
        <v>14</v>
      </c>
      <c r="F134" s="17" t="s">
        <v>47</v>
      </c>
      <c r="G134" s="17" t="s">
        <v>64</v>
      </c>
      <c r="H134" s="17" t="s">
        <v>33</v>
      </c>
      <c r="I134" s="17">
        <v>2645</v>
      </c>
      <c r="J134" s="17">
        <v>513</v>
      </c>
      <c r="K134" s="18">
        <v>1356885</v>
      </c>
    </row>
    <row r="135" spans="1:11" x14ac:dyDescent="0.3">
      <c r="A135" s="17" t="s">
        <v>161</v>
      </c>
      <c r="B135" s="15" t="s">
        <v>188</v>
      </c>
      <c r="C135" s="16" t="s">
        <v>174</v>
      </c>
      <c r="D135" s="17" t="s">
        <v>182</v>
      </c>
      <c r="E135" s="17" t="s">
        <v>49</v>
      </c>
      <c r="F135" s="17" t="s">
        <v>50</v>
      </c>
      <c r="G135" s="17" t="s">
        <v>50</v>
      </c>
      <c r="H135" s="17" t="s">
        <v>33</v>
      </c>
      <c r="I135" s="17">
        <v>4794</v>
      </c>
      <c r="J135" s="17">
        <v>703</v>
      </c>
      <c r="K135" s="18">
        <v>3370182</v>
      </c>
    </row>
    <row r="136" spans="1:11" x14ac:dyDescent="0.3">
      <c r="A136" s="17" t="s">
        <v>161</v>
      </c>
      <c r="B136" s="15" t="s">
        <v>189</v>
      </c>
      <c r="C136" s="16" t="s">
        <v>174</v>
      </c>
      <c r="D136" s="17" t="s">
        <v>182</v>
      </c>
      <c r="E136" s="17" t="s">
        <v>43</v>
      </c>
      <c r="F136" s="17" t="s">
        <v>52</v>
      </c>
      <c r="G136" s="17" t="s">
        <v>74</v>
      </c>
      <c r="H136" s="17" t="s">
        <v>11</v>
      </c>
      <c r="I136" s="17">
        <v>4067</v>
      </c>
      <c r="J136" s="17">
        <v>710</v>
      </c>
      <c r="K136" s="18">
        <v>2887570</v>
      </c>
    </row>
    <row r="137" spans="1:11" x14ac:dyDescent="0.3">
      <c r="A137" s="17" t="s">
        <v>161</v>
      </c>
      <c r="B137" s="15" t="s">
        <v>190</v>
      </c>
      <c r="C137" s="16" t="s">
        <v>174</v>
      </c>
      <c r="D137" s="17" t="s">
        <v>182</v>
      </c>
      <c r="E137" s="17" t="s">
        <v>20</v>
      </c>
      <c r="F137" s="17" t="s">
        <v>54</v>
      </c>
      <c r="G137" s="17" t="s">
        <v>76</v>
      </c>
      <c r="H137" s="17" t="s">
        <v>11</v>
      </c>
      <c r="I137" s="17">
        <v>9519</v>
      </c>
      <c r="J137" s="17">
        <v>949</v>
      </c>
      <c r="K137" s="18">
        <v>9033531</v>
      </c>
    </row>
    <row r="138" spans="1:11" x14ac:dyDescent="0.3">
      <c r="A138" s="17" t="s">
        <v>161</v>
      </c>
      <c r="B138" s="15" t="s">
        <v>191</v>
      </c>
      <c r="C138" s="16" t="s">
        <v>174</v>
      </c>
      <c r="D138" s="17" t="s">
        <v>182</v>
      </c>
      <c r="E138" s="17" t="s">
        <v>17</v>
      </c>
      <c r="F138" s="17" t="s">
        <v>56</v>
      </c>
      <c r="G138" s="17" t="s">
        <v>78</v>
      </c>
      <c r="H138" s="17" t="s">
        <v>11</v>
      </c>
      <c r="I138" s="17">
        <v>7217</v>
      </c>
      <c r="J138" s="17">
        <v>935</v>
      </c>
      <c r="K138" s="18">
        <v>6747895</v>
      </c>
    </row>
    <row r="139" spans="1:11" x14ac:dyDescent="0.3">
      <c r="A139" s="17" t="s">
        <v>161</v>
      </c>
      <c r="B139" s="15" t="s">
        <v>192</v>
      </c>
      <c r="C139" s="16" t="s">
        <v>174</v>
      </c>
      <c r="D139" s="17" t="s">
        <v>182</v>
      </c>
      <c r="E139" s="17" t="s">
        <v>14</v>
      </c>
      <c r="F139" s="17" t="s">
        <v>80</v>
      </c>
      <c r="G139" s="17" t="s">
        <v>70</v>
      </c>
      <c r="H139" s="17" t="s">
        <v>11</v>
      </c>
      <c r="I139" s="17">
        <v>1885</v>
      </c>
      <c r="J139" s="17">
        <v>811</v>
      </c>
      <c r="K139" s="18">
        <v>1528735</v>
      </c>
    </row>
    <row r="140" spans="1:11" x14ac:dyDescent="0.3">
      <c r="A140" s="17" t="s">
        <v>161</v>
      </c>
      <c r="B140" s="15" t="s">
        <v>193</v>
      </c>
      <c r="C140" s="16" t="s">
        <v>174</v>
      </c>
      <c r="D140" s="17" t="s">
        <v>182</v>
      </c>
      <c r="E140" s="17" t="s">
        <v>9</v>
      </c>
      <c r="F140" s="17" t="s">
        <v>83</v>
      </c>
      <c r="G140" s="17" t="s">
        <v>84</v>
      </c>
      <c r="H140" s="17" t="s">
        <v>33</v>
      </c>
      <c r="I140" s="17">
        <v>8921</v>
      </c>
      <c r="J140" s="17">
        <v>593</v>
      </c>
      <c r="K140" s="18">
        <v>5290153</v>
      </c>
    </row>
    <row r="141" spans="1:11" x14ac:dyDescent="0.3">
      <c r="A141" s="17" t="s">
        <v>63</v>
      </c>
      <c r="B141" s="15" t="s">
        <v>194</v>
      </c>
      <c r="C141" s="16" t="s">
        <v>174</v>
      </c>
      <c r="D141" s="17" t="s">
        <v>103</v>
      </c>
      <c r="E141" s="17" t="s">
        <v>9</v>
      </c>
      <c r="F141" s="17" t="s">
        <v>86</v>
      </c>
      <c r="G141" s="17" t="s">
        <v>84</v>
      </c>
      <c r="H141" s="17" t="s">
        <v>11</v>
      </c>
      <c r="I141" s="17">
        <v>6596</v>
      </c>
      <c r="J141" s="17">
        <v>501</v>
      </c>
      <c r="K141" s="18">
        <v>3304596</v>
      </c>
    </row>
    <row r="142" spans="1:11" x14ac:dyDescent="0.3">
      <c r="A142" s="17" t="s">
        <v>63</v>
      </c>
      <c r="B142" s="15" t="s">
        <v>195</v>
      </c>
      <c r="C142" s="16" t="s">
        <v>174</v>
      </c>
      <c r="D142" s="17" t="s">
        <v>103</v>
      </c>
      <c r="E142" s="17" t="s">
        <v>20</v>
      </c>
      <c r="F142" s="17" t="s">
        <v>88</v>
      </c>
      <c r="G142" s="17" t="s">
        <v>66</v>
      </c>
      <c r="H142" s="17" t="s">
        <v>11</v>
      </c>
      <c r="I142" s="17">
        <v>3074</v>
      </c>
      <c r="J142" s="17">
        <v>869</v>
      </c>
      <c r="K142" s="18">
        <v>2671306</v>
      </c>
    </row>
    <row r="143" spans="1:11" x14ac:dyDescent="0.3">
      <c r="A143" s="17" t="s">
        <v>63</v>
      </c>
      <c r="B143" s="15" t="s">
        <v>196</v>
      </c>
      <c r="C143" s="16" t="s">
        <v>174</v>
      </c>
      <c r="D143" s="17" t="s">
        <v>103</v>
      </c>
      <c r="E143" s="17" t="s">
        <v>20</v>
      </c>
      <c r="F143" s="17" t="s">
        <v>90</v>
      </c>
      <c r="G143" s="17" t="s">
        <v>66</v>
      </c>
      <c r="H143" s="17" t="s">
        <v>11</v>
      </c>
      <c r="I143" s="17">
        <v>6116</v>
      </c>
      <c r="J143" s="17">
        <v>699</v>
      </c>
      <c r="K143" s="18">
        <v>4275084</v>
      </c>
    </row>
    <row r="144" spans="1:11" x14ac:dyDescent="0.3">
      <c r="A144" s="17" t="s">
        <v>63</v>
      </c>
      <c r="B144" s="15" t="s">
        <v>197</v>
      </c>
      <c r="C144" s="16" t="s">
        <v>174</v>
      </c>
      <c r="D144" s="17" t="s">
        <v>103</v>
      </c>
      <c r="E144" s="17" t="s">
        <v>9</v>
      </c>
      <c r="F144" s="17" t="s">
        <v>92</v>
      </c>
      <c r="G144" s="17" t="s">
        <v>93</v>
      </c>
      <c r="H144" s="17" t="s">
        <v>11</v>
      </c>
      <c r="I144" s="17">
        <v>5729</v>
      </c>
      <c r="J144" s="17">
        <v>753</v>
      </c>
      <c r="K144" s="18">
        <v>4313937</v>
      </c>
    </row>
    <row r="145" spans="1:11" x14ac:dyDescent="0.3">
      <c r="A145" s="17" t="s">
        <v>63</v>
      </c>
      <c r="B145" s="15" t="s">
        <v>198</v>
      </c>
      <c r="C145" s="16" t="s">
        <v>174</v>
      </c>
      <c r="D145" s="17" t="s">
        <v>103</v>
      </c>
      <c r="E145" s="17" t="s">
        <v>9</v>
      </c>
      <c r="F145" s="17" t="s">
        <v>95</v>
      </c>
      <c r="G145" s="17" t="s">
        <v>84</v>
      </c>
      <c r="H145" s="17" t="s">
        <v>33</v>
      </c>
      <c r="I145" s="17">
        <v>7181</v>
      </c>
      <c r="J145" s="17">
        <v>668</v>
      </c>
      <c r="K145" s="18">
        <v>4796908</v>
      </c>
    </row>
    <row r="146" spans="1:11" x14ac:dyDescent="0.3">
      <c r="A146" s="17" t="s">
        <v>63</v>
      </c>
      <c r="B146" s="15" t="s">
        <v>199</v>
      </c>
      <c r="C146" s="16" t="s">
        <v>174</v>
      </c>
      <c r="D146" s="17" t="s">
        <v>103</v>
      </c>
      <c r="E146" s="17" t="s">
        <v>17</v>
      </c>
      <c r="F146" s="17" t="s">
        <v>97</v>
      </c>
      <c r="G146" s="17" t="s">
        <v>98</v>
      </c>
      <c r="H146" s="17" t="s">
        <v>33</v>
      </c>
      <c r="I146" s="17">
        <v>9034</v>
      </c>
      <c r="J146" s="17">
        <v>730</v>
      </c>
      <c r="K146" s="18">
        <v>6594820</v>
      </c>
    </row>
    <row r="147" spans="1:11" x14ac:dyDescent="0.3">
      <c r="A147" s="17" t="s">
        <v>63</v>
      </c>
      <c r="B147" s="15" t="s">
        <v>200</v>
      </c>
      <c r="C147" s="16" t="s">
        <v>174</v>
      </c>
      <c r="D147" s="17" t="s">
        <v>103</v>
      </c>
      <c r="E147" s="17" t="s">
        <v>20</v>
      </c>
      <c r="F147" s="17" t="s">
        <v>134</v>
      </c>
      <c r="G147" s="17" t="s">
        <v>135</v>
      </c>
      <c r="H147" s="17" t="s">
        <v>33</v>
      </c>
      <c r="I147" s="17">
        <v>6005</v>
      </c>
      <c r="J147" s="17">
        <v>739</v>
      </c>
      <c r="K147" s="18">
        <v>4437695</v>
      </c>
    </row>
    <row r="148" spans="1:11" x14ac:dyDescent="0.3">
      <c r="A148" s="17" t="s">
        <v>63</v>
      </c>
      <c r="B148" s="15" t="s">
        <v>201</v>
      </c>
      <c r="C148" s="16" t="s">
        <v>174</v>
      </c>
      <c r="D148" s="17" t="s">
        <v>103</v>
      </c>
      <c r="E148" s="17" t="s">
        <v>14</v>
      </c>
      <c r="F148" s="17" t="s">
        <v>137</v>
      </c>
      <c r="G148" s="17" t="s">
        <v>64</v>
      </c>
      <c r="H148" s="17" t="s">
        <v>33</v>
      </c>
      <c r="I148" s="17">
        <v>5261</v>
      </c>
      <c r="J148" s="17">
        <v>626</v>
      </c>
      <c r="K148" s="18">
        <v>3293386</v>
      </c>
    </row>
    <row r="149" spans="1:11" x14ac:dyDescent="0.3">
      <c r="A149" s="17" t="s">
        <v>63</v>
      </c>
      <c r="B149" s="15" t="s">
        <v>202</v>
      </c>
      <c r="C149" s="16" t="s">
        <v>174</v>
      </c>
      <c r="D149" s="17" t="s">
        <v>103</v>
      </c>
      <c r="E149" s="17" t="s">
        <v>9</v>
      </c>
      <c r="F149" s="17" t="s">
        <v>139</v>
      </c>
      <c r="G149" s="17" t="s">
        <v>140</v>
      </c>
      <c r="H149" s="17" t="s">
        <v>33</v>
      </c>
      <c r="I149" s="17">
        <v>5989</v>
      </c>
      <c r="J149" s="17">
        <v>889</v>
      </c>
      <c r="K149" s="18">
        <v>5324221</v>
      </c>
    </row>
    <row r="150" spans="1:11" x14ac:dyDescent="0.3">
      <c r="A150" s="17" t="s">
        <v>63</v>
      </c>
      <c r="B150" s="15" t="s">
        <v>203</v>
      </c>
      <c r="C150" s="16" t="s">
        <v>174</v>
      </c>
      <c r="D150" s="17" t="s">
        <v>103</v>
      </c>
      <c r="E150" s="17" t="s">
        <v>9</v>
      </c>
      <c r="F150" s="17" t="s">
        <v>142</v>
      </c>
      <c r="G150" s="17" t="s">
        <v>143</v>
      </c>
      <c r="H150" s="17" t="s">
        <v>33</v>
      </c>
      <c r="I150" s="17">
        <v>6350</v>
      </c>
      <c r="J150" s="17">
        <v>615</v>
      </c>
      <c r="K150" s="18">
        <v>3905250</v>
      </c>
    </row>
    <row r="151" spans="1:11" x14ac:dyDescent="0.3">
      <c r="A151" s="17" t="s">
        <v>63</v>
      </c>
      <c r="B151" s="15" t="s">
        <v>204</v>
      </c>
      <c r="C151" s="16" t="s">
        <v>174</v>
      </c>
      <c r="D151" s="17" t="s">
        <v>103</v>
      </c>
      <c r="E151" s="17" t="s">
        <v>145</v>
      </c>
      <c r="F151" s="17" t="s">
        <v>146</v>
      </c>
      <c r="G151" s="17" t="s">
        <v>147</v>
      </c>
      <c r="H151" s="17" t="s">
        <v>33</v>
      </c>
      <c r="I151" s="17">
        <v>9014</v>
      </c>
      <c r="J151" s="17">
        <v>687</v>
      </c>
      <c r="K151" s="18">
        <v>6192618</v>
      </c>
    </row>
    <row r="152" spans="1:11" x14ac:dyDescent="0.3">
      <c r="A152" s="17" t="s">
        <v>67</v>
      </c>
      <c r="B152" s="15" t="s">
        <v>205</v>
      </c>
      <c r="C152" s="16" t="s">
        <v>174</v>
      </c>
      <c r="D152" s="17" t="s">
        <v>72</v>
      </c>
      <c r="E152" s="17" t="s">
        <v>9</v>
      </c>
      <c r="F152" s="17" t="s">
        <v>149</v>
      </c>
      <c r="G152" s="17" t="s">
        <v>150</v>
      </c>
      <c r="H152" s="17" t="s">
        <v>33</v>
      </c>
      <c r="I152" s="17">
        <v>9418</v>
      </c>
      <c r="J152" s="17">
        <v>558</v>
      </c>
      <c r="K152" s="18">
        <v>5255244</v>
      </c>
    </row>
    <row r="153" spans="1:11" x14ac:dyDescent="0.3">
      <c r="A153" s="17" t="s">
        <v>67</v>
      </c>
      <c r="B153" s="15" t="s">
        <v>206</v>
      </c>
      <c r="C153" s="16" t="s">
        <v>174</v>
      </c>
      <c r="D153" s="17" t="s">
        <v>72</v>
      </c>
      <c r="E153" s="17" t="s">
        <v>43</v>
      </c>
      <c r="F153" s="17" t="s">
        <v>152</v>
      </c>
      <c r="G153" s="17" t="s">
        <v>153</v>
      </c>
      <c r="H153" s="17" t="s">
        <v>33</v>
      </c>
      <c r="I153" s="17">
        <v>8665</v>
      </c>
      <c r="J153" s="17">
        <v>743</v>
      </c>
      <c r="K153" s="18">
        <v>6438095</v>
      </c>
    </row>
    <row r="154" spans="1:11" x14ac:dyDescent="0.3">
      <c r="A154" s="17" t="s">
        <v>67</v>
      </c>
      <c r="B154" s="15" t="s">
        <v>207</v>
      </c>
      <c r="C154" s="16" t="s">
        <v>174</v>
      </c>
      <c r="D154" s="17" t="s">
        <v>72</v>
      </c>
      <c r="E154" s="17" t="s">
        <v>17</v>
      </c>
      <c r="F154" s="17" t="s">
        <v>155</v>
      </c>
      <c r="G154" s="17" t="s">
        <v>65</v>
      </c>
      <c r="H154" s="17" t="s">
        <v>33</v>
      </c>
      <c r="I154" s="17">
        <v>5344</v>
      </c>
      <c r="J154" s="17">
        <v>500</v>
      </c>
      <c r="K154" s="18">
        <v>2672000</v>
      </c>
    </row>
    <row r="155" spans="1:11" x14ac:dyDescent="0.3">
      <c r="A155" s="17" t="s">
        <v>67</v>
      </c>
      <c r="B155" s="15" t="s">
        <v>208</v>
      </c>
      <c r="C155" s="16" t="s">
        <v>174</v>
      </c>
      <c r="D155" s="17" t="s">
        <v>72</v>
      </c>
      <c r="E155" s="17" t="s">
        <v>17</v>
      </c>
      <c r="F155" s="17" t="s">
        <v>18</v>
      </c>
      <c r="G155" s="17" t="s">
        <v>65</v>
      </c>
      <c r="H155" s="17" t="s">
        <v>33</v>
      </c>
      <c r="I155" s="17">
        <v>7204</v>
      </c>
      <c r="J155" s="17">
        <v>944</v>
      </c>
      <c r="K155" s="18">
        <v>6800576</v>
      </c>
    </row>
    <row r="156" spans="1:11" x14ac:dyDescent="0.3">
      <c r="A156" s="17" t="s">
        <v>67</v>
      </c>
      <c r="B156" s="15" t="s">
        <v>209</v>
      </c>
      <c r="C156" s="16" t="s">
        <v>174</v>
      </c>
      <c r="D156" s="17" t="s">
        <v>72</v>
      </c>
      <c r="E156" s="17" t="s">
        <v>43</v>
      </c>
      <c r="F156" s="17" t="s">
        <v>104</v>
      </c>
      <c r="G156" s="17" t="s">
        <v>74</v>
      </c>
      <c r="H156" s="17" t="s">
        <v>33</v>
      </c>
      <c r="I156" s="17">
        <v>5004</v>
      </c>
      <c r="J156" s="17">
        <v>681</v>
      </c>
      <c r="K156" s="18">
        <v>3407724</v>
      </c>
    </row>
    <row r="157" spans="1:11" x14ac:dyDescent="0.3">
      <c r="A157" s="17" t="s">
        <v>67</v>
      </c>
      <c r="B157" s="15" t="s">
        <v>210</v>
      </c>
      <c r="C157" s="16" t="s">
        <v>174</v>
      </c>
      <c r="D157" s="17" t="s">
        <v>72</v>
      </c>
      <c r="E157" s="17" t="s">
        <v>17</v>
      </c>
      <c r="F157" s="17" t="s">
        <v>106</v>
      </c>
      <c r="G157" s="17" t="s">
        <v>98</v>
      </c>
      <c r="H157" s="17" t="s">
        <v>33</v>
      </c>
      <c r="I157" s="17">
        <v>2162</v>
      </c>
      <c r="J157" s="17">
        <v>880</v>
      </c>
      <c r="K157" s="18">
        <v>1902560</v>
      </c>
    </row>
    <row r="158" spans="1:11" x14ac:dyDescent="0.3">
      <c r="A158" s="17" t="s">
        <v>67</v>
      </c>
      <c r="B158" s="15" t="s">
        <v>211</v>
      </c>
      <c r="C158" s="16" t="s">
        <v>174</v>
      </c>
      <c r="D158" s="17" t="s">
        <v>72</v>
      </c>
      <c r="E158" s="17" t="s">
        <v>17</v>
      </c>
      <c r="F158" s="17" t="s">
        <v>108</v>
      </c>
      <c r="G158" s="17" t="s">
        <v>65</v>
      </c>
      <c r="H158" s="17" t="s">
        <v>33</v>
      </c>
      <c r="I158" s="17">
        <v>6223</v>
      </c>
      <c r="J158" s="17">
        <v>783</v>
      </c>
      <c r="K158" s="18">
        <v>4872609</v>
      </c>
    </row>
    <row r="159" spans="1:11" x14ac:dyDescent="0.3">
      <c r="A159" s="17" t="s">
        <v>67</v>
      </c>
      <c r="B159" s="15" t="s">
        <v>212</v>
      </c>
      <c r="C159" s="16" t="s">
        <v>213</v>
      </c>
      <c r="D159" s="17" t="s">
        <v>72</v>
      </c>
      <c r="E159" s="17" t="s">
        <v>20</v>
      </c>
      <c r="F159" s="17" t="s">
        <v>110</v>
      </c>
      <c r="G159" s="17" t="s">
        <v>68</v>
      </c>
      <c r="H159" s="17" t="s">
        <v>33</v>
      </c>
      <c r="I159" s="17">
        <v>5481</v>
      </c>
      <c r="J159" s="17">
        <v>646</v>
      </c>
      <c r="K159" s="18">
        <v>3540726</v>
      </c>
    </row>
    <row r="160" spans="1:11" x14ac:dyDescent="0.3">
      <c r="A160" s="17" t="s">
        <v>67</v>
      </c>
      <c r="B160" s="15" t="s">
        <v>214</v>
      </c>
      <c r="C160" s="16" t="s">
        <v>213</v>
      </c>
      <c r="D160" s="17" t="s">
        <v>72</v>
      </c>
      <c r="E160" s="17" t="s">
        <v>9</v>
      </c>
      <c r="F160" s="17" t="s">
        <v>10</v>
      </c>
      <c r="G160" s="17" t="s">
        <v>10</v>
      </c>
      <c r="H160" s="17" t="s">
        <v>11</v>
      </c>
      <c r="I160" s="17">
        <v>7362</v>
      </c>
      <c r="J160" s="17">
        <v>848</v>
      </c>
      <c r="K160" s="18">
        <v>6242976</v>
      </c>
    </row>
    <row r="161" spans="1:11" x14ac:dyDescent="0.3">
      <c r="A161" s="17" t="s">
        <v>67</v>
      </c>
      <c r="B161" s="15" t="s">
        <v>215</v>
      </c>
      <c r="C161" s="16" t="s">
        <v>213</v>
      </c>
      <c r="D161" s="17" t="s">
        <v>72</v>
      </c>
      <c r="E161" s="17" t="s">
        <v>14</v>
      </c>
      <c r="F161" s="17" t="s">
        <v>15</v>
      </c>
      <c r="G161" s="17" t="s">
        <v>64</v>
      </c>
      <c r="H161" s="17" t="s">
        <v>11</v>
      </c>
      <c r="I161" s="17">
        <v>6176</v>
      </c>
      <c r="J161" s="17">
        <v>639</v>
      </c>
      <c r="K161" s="18">
        <v>3946464</v>
      </c>
    </row>
    <row r="162" spans="1:11" x14ac:dyDescent="0.3">
      <c r="A162" s="17" t="s">
        <v>67</v>
      </c>
      <c r="B162" s="15" t="s">
        <v>216</v>
      </c>
      <c r="C162" s="16" t="s">
        <v>213</v>
      </c>
      <c r="D162" s="17" t="s">
        <v>72</v>
      </c>
      <c r="E162" s="17" t="s">
        <v>17</v>
      </c>
      <c r="F162" s="17" t="s">
        <v>18</v>
      </c>
      <c r="G162" s="17" t="s">
        <v>65</v>
      </c>
      <c r="H162" s="17" t="s">
        <v>11</v>
      </c>
      <c r="I162" s="17">
        <v>6492</v>
      </c>
      <c r="J162" s="17">
        <v>714</v>
      </c>
      <c r="K162" s="18">
        <v>4635288</v>
      </c>
    </row>
    <row r="163" spans="1:11" x14ac:dyDescent="0.3">
      <c r="A163" s="17" t="s">
        <v>67</v>
      </c>
      <c r="B163" s="15" t="s">
        <v>217</v>
      </c>
      <c r="C163" s="16" t="s">
        <v>213</v>
      </c>
      <c r="D163" s="17" t="s">
        <v>72</v>
      </c>
      <c r="E163" s="17" t="s">
        <v>20</v>
      </c>
      <c r="F163" s="17" t="s">
        <v>21</v>
      </c>
      <c r="G163" s="17" t="s">
        <v>66</v>
      </c>
      <c r="H163" s="17" t="s">
        <v>11</v>
      </c>
      <c r="I163" s="17">
        <v>5268</v>
      </c>
      <c r="J163" s="17">
        <v>992</v>
      </c>
      <c r="K163" s="18">
        <v>5225856</v>
      </c>
    </row>
    <row r="164" spans="1:11" x14ac:dyDescent="0.3">
      <c r="A164" s="17" t="s">
        <v>67</v>
      </c>
      <c r="B164" s="15" t="s">
        <v>218</v>
      </c>
      <c r="C164" s="16" t="s">
        <v>213</v>
      </c>
      <c r="D164" s="17" t="s">
        <v>82</v>
      </c>
      <c r="E164" s="17" t="s">
        <v>20</v>
      </c>
      <c r="F164" s="17" t="s">
        <v>24</v>
      </c>
      <c r="G164" s="17" t="s">
        <v>68</v>
      </c>
      <c r="H164" s="17" t="s">
        <v>11</v>
      </c>
      <c r="I164" s="17">
        <v>2613</v>
      </c>
      <c r="J164" s="17">
        <v>910</v>
      </c>
      <c r="K164" s="18">
        <v>2377830</v>
      </c>
    </row>
    <row r="165" spans="1:11" x14ac:dyDescent="0.3">
      <c r="A165" s="17" t="s">
        <v>67</v>
      </c>
      <c r="B165" s="15" t="s">
        <v>219</v>
      </c>
      <c r="C165" s="16" t="s">
        <v>213</v>
      </c>
      <c r="D165" s="17" t="s">
        <v>82</v>
      </c>
      <c r="E165" s="17" t="s">
        <v>20</v>
      </c>
      <c r="F165" s="17" t="s">
        <v>26</v>
      </c>
      <c r="G165" s="17" t="s">
        <v>69</v>
      </c>
      <c r="H165" s="17" t="s">
        <v>33</v>
      </c>
      <c r="I165" s="17">
        <v>3530</v>
      </c>
      <c r="J165" s="17">
        <v>693</v>
      </c>
      <c r="K165" s="18">
        <v>2446290</v>
      </c>
    </row>
    <row r="166" spans="1:11" x14ac:dyDescent="0.3">
      <c r="A166" s="17" t="s">
        <v>67</v>
      </c>
      <c r="B166" s="15" t="s">
        <v>220</v>
      </c>
      <c r="C166" s="16" t="s">
        <v>213</v>
      </c>
      <c r="D166" s="17" t="s">
        <v>82</v>
      </c>
      <c r="E166" s="17" t="s">
        <v>14</v>
      </c>
      <c r="F166" s="17" t="s">
        <v>28</v>
      </c>
      <c r="G166" s="17" t="s">
        <v>70</v>
      </c>
      <c r="H166" s="17" t="s">
        <v>33</v>
      </c>
      <c r="I166" s="17">
        <v>6376</v>
      </c>
      <c r="J166" s="17">
        <v>909</v>
      </c>
      <c r="K166" s="18">
        <v>5795784</v>
      </c>
    </row>
    <row r="167" spans="1:11" x14ac:dyDescent="0.3">
      <c r="A167" s="17" t="s">
        <v>161</v>
      </c>
      <c r="B167" s="15" t="s">
        <v>221</v>
      </c>
      <c r="C167" s="16" t="s">
        <v>213</v>
      </c>
      <c r="D167" s="17" t="s">
        <v>182</v>
      </c>
      <c r="E167" s="17" t="s">
        <v>14</v>
      </c>
      <c r="F167" s="17" t="s">
        <v>30</v>
      </c>
      <c r="G167" s="17" t="s">
        <v>64</v>
      </c>
      <c r="H167" s="17" t="s">
        <v>33</v>
      </c>
      <c r="I167" s="17">
        <v>5087</v>
      </c>
      <c r="J167" s="17">
        <v>555</v>
      </c>
      <c r="K167" s="18">
        <v>2823285</v>
      </c>
    </row>
    <row r="168" spans="1:11" x14ac:dyDescent="0.3">
      <c r="A168" s="17" t="s">
        <v>161</v>
      </c>
      <c r="B168" s="15" t="s">
        <v>222</v>
      </c>
      <c r="C168" s="16" t="s">
        <v>213</v>
      </c>
      <c r="D168" s="17" t="s">
        <v>182</v>
      </c>
      <c r="E168" s="17" t="s">
        <v>9</v>
      </c>
      <c r="F168" s="17" t="s">
        <v>32</v>
      </c>
      <c r="G168" s="17" t="s">
        <v>93</v>
      </c>
      <c r="H168" s="17" t="s">
        <v>33</v>
      </c>
      <c r="I168" s="17">
        <v>8044</v>
      </c>
      <c r="J168" s="17">
        <v>681</v>
      </c>
      <c r="K168" s="18">
        <v>5477964</v>
      </c>
    </row>
    <row r="169" spans="1:11" x14ac:dyDescent="0.3">
      <c r="A169" s="17" t="s">
        <v>161</v>
      </c>
      <c r="B169" s="15" t="s">
        <v>223</v>
      </c>
      <c r="C169" s="16" t="s">
        <v>213</v>
      </c>
      <c r="D169" s="17" t="s">
        <v>182</v>
      </c>
      <c r="E169" s="17" t="s">
        <v>14</v>
      </c>
      <c r="F169" s="17" t="s">
        <v>35</v>
      </c>
      <c r="G169" s="17" t="s">
        <v>70</v>
      </c>
      <c r="H169" s="17" t="s">
        <v>33</v>
      </c>
      <c r="I169" s="17">
        <v>4427</v>
      </c>
      <c r="J169" s="17">
        <v>818</v>
      </c>
      <c r="K169" s="18">
        <v>3621286</v>
      </c>
    </row>
    <row r="170" spans="1:11" x14ac:dyDescent="0.3">
      <c r="A170" s="17" t="s">
        <v>161</v>
      </c>
      <c r="B170" s="15" t="s">
        <v>224</v>
      </c>
      <c r="C170" s="16" t="s">
        <v>213</v>
      </c>
      <c r="D170" s="17" t="s">
        <v>182</v>
      </c>
      <c r="E170" s="17" t="s">
        <v>9</v>
      </c>
      <c r="F170" s="17" t="s">
        <v>37</v>
      </c>
      <c r="G170" s="17" t="s">
        <v>84</v>
      </c>
      <c r="H170" s="17" t="s">
        <v>33</v>
      </c>
      <c r="I170" s="17">
        <v>5689</v>
      </c>
      <c r="J170" s="17">
        <v>827</v>
      </c>
      <c r="K170" s="18">
        <v>4704803</v>
      </c>
    </row>
    <row r="171" spans="1:11" x14ac:dyDescent="0.3">
      <c r="A171" s="17" t="s">
        <v>161</v>
      </c>
      <c r="B171" s="15" t="s">
        <v>225</v>
      </c>
      <c r="C171" s="16" t="s">
        <v>213</v>
      </c>
      <c r="D171" s="17" t="s">
        <v>182</v>
      </c>
      <c r="E171" s="17" t="s">
        <v>9</v>
      </c>
      <c r="F171" s="17" t="s">
        <v>39</v>
      </c>
      <c r="G171" s="17" t="s">
        <v>84</v>
      </c>
      <c r="H171" s="17" t="s">
        <v>33</v>
      </c>
      <c r="I171" s="17">
        <v>2431</v>
      </c>
      <c r="J171" s="17">
        <v>556</v>
      </c>
      <c r="K171" s="18">
        <v>1351636</v>
      </c>
    </row>
    <row r="172" spans="1:11" x14ac:dyDescent="0.3">
      <c r="A172" s="17" t="s">
        <v>161</v>
      </c>
      <c r="B172" s="15" t="s">
        <v>226</v>
      </c>
      <c r="C172" s="16" t="s">
        <v>213</v>
      </c>
      <c r="D172" s="17" t="s">
        <v>182</v>
      </c>
      <c r="E172" s="17" t="s">
        <v>14</v>
      </c>
      <c r="F172" s="17" t="s">
        <v>41</v>
      </c>
      <c r="G172" s="17" t="s">
        <v>64</v>
      </c>
      <c r="H172" s="17" t="s">
        <v>11</v>
      </c>
      <c r="I172" s="17">
        <v>1567</v>
      </c>
      <c r="J172" s="17">
        <v>781</v>
      </c>
      <c r="K172" s="18">
        <v>1223827</v>
      </c>
    </row>
    <row r="173" spans="1:11" x14ac:dyDescent="0.3">
      <c r="A173" s="17" t="s">
        <v>161</v>
      </c>
      <c r="B173" s="15" t="s">
        <v>227</v>
      </c>
      <c r="C173" s="16" t="s">
        <v>213</v>
      </c>
      <c r="D173" s="17" t="s">
        <v>182</v>
      </c>
      <c r="E173" s="17" t="s">
        <v>43</v>
      </c>
      <c r="F173" s="17" t="s">
        <v>44</v>
      </c>
      <c r="G173" s="17" t="s">
        <v>74</v>
      </c>
      <c r="H173" s="17" t="s">
        <v>11</v>
      </c>
      <c r="I173" s="17">
        <v>4760</v>
      </c>
      <c r="J173" s="17">
        <v>578</v>
      </c>
      <c r="K173" s="18">
        <v>2751280</v>
      </c>
    </row>
    <row r="174" spans="1:11" x14ac:dyDescent="0.3">
      <c r="A174" s="17" t="s">
        <v>63</v>
      </c>
      <c r="B174" s="15" t="s">
        <v>228</v>
      </c>
      <c r="C174" s="16" t="s">
        <v>213</v>
      </c>
      <c r="D174" s="17" t="s">
        <v>103</v>
      </c>
      <c r="E174" s="17" t="s">
        <v>14</v>
      </c>
      <c r="F174" s="17" t="s">
        <v>47</v>
      </c>
      <c r="G174" s="17" t="s">
        <v>64</v>
      </c>
      <c r="H174" s="17" t="s">
        <v>11</v>
      </c>
      <c r="I174" s="17">
        <v>2605</v>
      </c>
      <c r="J174" s="17">
        <v>737</v>
      </c>
      <c r="K174" s="18">
        <v>1919885</v>
      </c>
    </row>
    <row r="175" spans="1:11" x14ac:dyDescent="0.3">
      <c r="A175" s="17" t="s">
        <v>63</v>
      </c>
      <c r="B175" s="15" t="s">
        <v>229</v>
      </c>
      <c r="C175" s="16" t="s">
        <v>213</v>
      </c>
      <c r="D175" s="17" t="s">
        <v>103</v>
      </c>
      <c r="E175" s="17" t="s">
        <v>49</v>
      </c>
      <c r="F175" s="17" t="s">
        <v>50</v>
      </c>
      <c r="G175" s="17" t="s">
        <v>50</v>
      </c>
      <c r="H175" s="17" t="s">
        <v>11</v>
      </c>
      <c r="I175" s="17">
        <v>8431</v>
      </c>
      <c r="J175" s="17">
        <v>507</v>
      </c>
      <c r="K175" s="18">
        <v>4274517</v>
      </c>
    </row>
    <row r="176" spans="1:11" x14ac:dyDescent="0.3">
      <c r="A176" s="17" t="s">
        <v>63</v>
      </c>
      <c r="B176" s="15" t="s">
        <v>230</v>
      </c>
      <c r="C176" s="16" t="s">
        <v>213</v>
      </c>
      <c r="D176" s="17" t="s">
        <v>103</v>
      </c>
      <c r="E176" s="17" t="s">
        <v>43</v>
      </c>
      <c r="F176" s="17" t="s">
        <v>52</v>
      </c>
      <c r="G176" s="17" t="s">
        <v>74</v>
      </c>
      <c r="H176" s="17" t="s">
        <v>33</v>
      </c>
      <c r="I176" s="17">
        <v>5487</v>
      </c>
      <c r="J176" s="17">
        <v>879</v>
      </c>
      <c r="K176" s="18">
        <v>4823073</v>
      </c>
    </row>
    <row r="177" spans="1:11" x14ac:dyDescent="0.3">
      <c r="A177" s="17" t="s">
        <v>63</v>
      </c>
      <c r="B177" s="15" t="s">
        <v>231</v>
      </c>
      <c r="C177" s="16" t="s">
        <v>213</v>
      </c>
      <c r="D177" s="17" t="s">
        <v>103</v>
      </c>
      <c r="E177" s="17" t="s">
        <v>20</v>
      </c>
      <c r="F177" s="17" t="s">
        <v>54</v>
      </c>
      <c r="G177" s="17" t="s">
        <v>76</v>
      </c>
      <c r="H177" s="17" t="s">
        <v>11</v>
      </c>
      <c r="I177" s="17">
        <v>3782</v>
      </c>
      <c r="J177" s="17">
        <v>528</v>
      </c>
      <c r="K177" s="18">
        <v>1996896</v>
      </c>
    </row>
    <row r="178" spans="1:11" x14ac:dyDescent="0.3">
      <c r="A178" s="17" t="s">
        <v>63</v>
      </c>
      <c r="B178" s="15" t="s">
        <v>232</v>
      </c>
      <c r="C178" s="16" t="s">
        <v>213</v>
      </c>
      <c r="D178" s="17" t="s">
        <v>103</v>
      </c>
      <c r="E178" s="17" t="s">
        <v>17</v>
      </c>
      <c r="F178" s="17" t="s">
        <v>56</v>
      </c>
      <c r="G178" s="17" t="s">
        <v>78</v>
      </c>
      <c r="H178" s="17" t="s">
        <v>11</v>
      </c>
      <c r="I178" s="17">
        <v>2743</v>
      </c>
      <c r="J178" s="17">
        <v>575</v>
      </c>
      <c r="K178" s="18">
        <v>1577225</v>
      </c>
    </row>
    <row r="179" spans="1:11" x14ac:dyDescent="0.3">
      <c r="A179" s="17" t="s">
        <v>63</v>
      </c>
      <c r="B179" s="15" t="s">
        <v>233</v>
      </c>
      <c r="C179" s="16" t="s">
        <v>213</v>
      </c>
      <c r="D179" s="17" t="s">
        <v>103</v>
      </c>
      <c r="E179" s="17" t="s">
        <v>14</v>
      </c>
      <c r="F179" s="17" t="s">
        <v>80</v>
      </c>
      <c r="G179" s="17" t="s">
        <v>70</v>
      </c>
      <c r="H179" s="17" t="s">
        <v>11</v>
      </c>
      <c r="I179" s="17">
        <v>4239</v>
      </c>
      <c r="J179" s="17">
        <v>922</v>
      </c>
      <c r="K179" s="18">
        <v>3908358</v>
      </c>
    </row>
    <row r="180" spans="1:11" x14ac:dyDescent="0.3">
      <c r="A180" s="17" t="s">
        <v>63</v>
      </c>
      <c r="B180" s="15" t="s">
        <v>234</v>
      </c>
      <c r="C180" s="16" t="s">
        <v>213</v>
      </c>
      <c r="D180" s="17" t="s">
        <v>103</v>
      </c>
      <c r="E180" s="17" t="s">
        <v>9</v>
      </c>
      <c r="F180" s="17" t="s">
        <v>83</v>
      </c>
      <c r="G180" s="17" t="s">
        <v>84</v>
      </c>
      <c r="H180" s="17" t="s">
        <v>11</v>
      </c>
      <c r="I180" s="17">
        <v>7544</v>
      </c>
      <c r="J180" s="17">
        <v>593</v>
      </c>
      <c r="K180" s="18">
        <v>4473592</v>
      </c>
    </row>
    <row r="181" spans="1:11" x14ac:dyDescent="0.3">
      <c r="A181" s="17" t="s">
        <v>63</v>
      </c>
      <c r="B181" s="15" t="s">
        <v>235</v>
      </c>
      <c r="C181" s="16" t="s">
        <v>213</v>
      </c>
      <c r="D181" s="17" t="s">
        <v>103</v>
      </c>
      <c r="E181" s="17" t="s">
        <v>9</v>
      </c>
      <c r="F181" s="17" t="s">
        <v>86</v>
      </c>
      <c r="G181" s="17" t="s">
        <v>84</v>
      </c>
      <c r="H181" s="17" t="s">
        <v>33</v>
      </c>
      <c r="I181" s="17">
        <v>3400</v>
      </c>
      <c r="J181" s="17">
        <v>948</v>
      </c>
      <c r="K181" s="18">
        <v>3223200</v>
      </c>
    </row>
    <row r="182" spans="1:11" x14ac:dyDescent="0.3">
      <c r="A182" s="17" t="s">
        <v>63</v>
      </c>
      <c r="B182" s="15" t="s">
        <v>236</v>
      </c>
      <c r="C182" s="16" t="s">
        <v>213</v>
      </c>
      <c r="D182" s="17" t="s">
        <v>103</v>
      </c>
      <c r="E182" s="17" t="s">
        <v>20</v>
      </c>
      <c r="F182" s="17" t="s">
        <v>88</v>
      </c>
      <c r="G182" s="17" t="s">
        <v>66</v>
      </c>
      <c r="H182" s="17" t="s">
        <v>33</v>
      </c>
      <c r="I182" s="17">
        <v>1964</v>
      </c>
      <c r="J182" s="17">
        <v>787</v>
      </c>
      <c r="K182" s="18">
        <v>1545668</v>
      </c>
    </row>
    <row r="183" spans="1:11" x14ac:dyDescent="0.3">
      <c r="A183" s="17" t="s">
        <v>63</v>
      </c>
      <c r="B183" s="15" t="s">
        <v>237</v>
      </c>
      <c r="C183" s="16" t="s">
        <v>213</v>
      </c>
      <c r="D183" s="17" t="s">
        <v>103</v>
      </c>
      <c r="E183" s="17" t="s">
        <v>20</v>
      </c>
      <c r="F183" s="17" t="s">
        <v>90</v>
      </c>
      <c r="G183" s="17" t="s">
        <v>66</v>
      </c>
      <c r="H183" s="17" t="s">
        <v>33</v>
      </c>
      <c r="I183" s="17">
        <v>4945</v>
      </c>
      <c r="J183" s="17">
        <v>938</v>
      </c>
      <c r="K183" s="18">
        <v>4638410</v>
      </c>
    </row>
    <row r="184" spans="1:11" x14ac:dyDescent="0.3">
      <c r="A184" s="17" t="s">
        <v>63</v>
      </c>
      <c r="B184" s="15" t="s">
        <v>238</v>
      </c>
      <c r="C184" s="16" t="s">
        <v>213</v>
      </c>
      <c r="D184" s="17" t="s">
        <v>103</v>
      </c>
      <c r="E184" s="17" t="s">
        <v>9</v>
      </c>
      <c r="F184" s="17" t="s">
        <v>92</v>
      </c>
      <c r="G184" s="17" t="s">
        <v>93</v>
      </c>
      <c r="H184" s="17" t="s">
        <v>33</v>
      </c>
      <c r="I184" s="17">
        <v>5530</v>
      </c>
      <c r="J184" s="17">
        <v>777</v>
      </c>
      <c r="K184" s="18">
        <v>4296810</v>
      </c>
    </row>
    <row r="185" spans="1:11" x14ac:dyDescent="0.3">
      <c r="A185" s="17" t="s">
        <v>67</v>
      </c>
      <c r="B185" s="15" t="s">
        <v>239</v>
      </c>
      <c r="C185" s="16" t="s">
        <v>240</v>
      </c>
      <c r="D185" s="17" t="s">
        <v>72</v>
      </c>
      <c r="E185" s="17" t="s">
        <v>9</v>
      </c>
      <c r="F185" s="17" t="s">
        <v>95</v>
      </c>
      <c r="G185" s="17" t="s">
        <v>84</v>
      </c>
      <c r="H185" s="17" t="s">
        <v>33</v>
      </c>
      <c r="I185" s="17">
        <v>4862</v>
      </c>
      <c r="J185" s="17">
        <v>954</v>
      </c>
      <c r="K185" s="18">
        <v>4638348</v>
      </c>
    </row>
    <row r="186" spans="1:11" x14ac:dyDescent="0.3">
      <c r="A186" s="17" t="s">
        <v>67</v>
      </c>
      <c r="B186" s="15" t="s">
        <v>241</v>
      </c>
      <c r="C186" s="16" t="s">
        <v>240</v>
      </c>
      <c r="D186" s="17" t="s">
        <v>72</v>
      </c>
      <c r="E186" s="17" t="s">
        <v>17</v>
      </c>
      <c r="F186" s="17" t="s">
        <v>97</v>
      </c>
      <c r="G186" s="17" t="s">
        <v>98</v>
      </c>
      <c r="H186" s="17" t="s">
        <v>33</v>
      </c>
      <c r="I186" s="17">
        <v>9354</v>
      </c>
      <c r="J186" s="17">
        <v>899</v>
      </c>
      <c r="K186" s="18">
        <v>8409246</v>
      </c>
    </row>
    <row r="187" spans="1:11" x14ac:dyDescent="0.3">
      <c r="A187" s="17" t="s">
        <v>67</v>
      </c>
      <c r="B187" s="15" t="s">
        <v>242</v>
      </c>
      <c r="C187" s="16" t="s">
        <v>240</v>
      </c>
      <c r="D187" s="17" t="s">
        <v>72</v>
      </c>
      <c r="E187" s="17" t="s">
        <v>20</v>
      </c>
      <c r="F187" s="17" t="s">
        <v>134</v>
      </c>
      <c r="G187" s="17" t="s">
        <v>135</v>
      </c>
      <c r="H187" s="17" t="s">
        <v>33</v>
      </c>
      <c r="I187" s="17">
        <v>4121</v>
      </c>
      <c r="J187" s="17">
        <v>904</v>
      </c>
      <c r="K187" s="18">
        <v>3725384</v>
      </c>
    </row>
    <row r="188" spans="1:11" x14ac:dyDescent="0.3">
      <c r="A188" s="17" t="s">
        <v>67</v>
      </c>
      <c r="B188" s="15" t="s">
        <v>243</v>
      </c>
      <c r="C188" s="16" t="s">
        <v>240</v>
      </c>
      <c r="D188" s="17" t="s">
        <v>72</v>
      </c>
      <c r="E188" s="17" t="s">
        <v>14</v>
      </c>
      <c r="F188" s="17" t="s">
        <v>137</v>
      </c>
      <c r="G188" s="17" t="s">
        <v>64</v>
      </c>
      <c r="H188" s="17" t="s">
        <v>33</v>
      </c>
      <c r="I188" s="17">
        <v>9914</v>
      </c>
      <c r="J188" s="17">
        <v>615</v>
      </c>
      <c r="K188" s="18">
        <v>6097110</v>
      </c>
    </row>
    <row r="189" spans="1:11" x14ac:dyDescent="0.3">
      <c r="A189" s="17" t="s">
        <v>67</v>
      </c>
      <c r="B189" s="15" t="s">
        <v>244</v>
      </c>
      <c r="C189" s="16" t="s">
        <v>240</v>
      </c>
      <c r="D189" s="17" t="s">
        <v>72</v>
      </c>
      <c r="E189" s="17" t="s">
        <v>9</v>
      </c>
      <c r="F189" s="17" t="s">
        <v>139</v>
      </c>
      <c r="G189" s="17" t="s">
        <v>140</v>
      </c>
      <c r="H189" s="17" t="s">
        <v>33</v>
      </c>
      <c r="I189" s="17">
        <v>2904</v>
      </c>
      <c r="J189" s="17">
        <v>997</v>
      </c>
      <c r="K189" s="18">
        <v>2895288</v>
      </c>
    </row>
    <row r="190" spans="1:11" x14ac:dyDescent="0.3">
      <c r="A190" s="17" t="s">
        <v>67</v>
      </c>
      <c r="B190" s="15" t="s">
        <v>245</v>
      </c>
      <c r="C190" s="16" t="s">
        <v>240</v>
      </c>
      <c r="D190" s="17" t="s">
        <v>72</v>
      </c>
      <c r="E190" s="17" t="s">
        <v>9</v>
      </c>
      <c r="F190" s="17" t="s">
        <v>142</v>
      </c>
      <c r="G190" s="17" t="s">
        <v>143</v>
      </c>
      <c r="H190" s="17" t="s">
        <v>33</v>
      </c>
      <c r="I190" s="17">
        <v>9981</v>
      </c>
      <c r="J190" s="17">
        <v>833</v>
      </c>
      <c r="K190" s="18">
        <v>8314173</v>
      </c>
    </row>
    <row r="191" spans="1:11" x14ac:dyDescent="0.3">
      <c r="A191" s="17" t="s">
        <v>67</v>
      </c>
      <c r="B191" s="15" t="s">
        <v>246</v>
      </c>
      <c r="C191" s="16" t="s">
        <v>240</v>
      </c>
      <c r="D191" s="17" t="s">
        <v>72</v>
      </c>
      <c r="E191" s="17" t="s">
        <v>145</v>
      </c>
      <c r="F191" s="17" t="s">
        <v>146</v>
      </c>
      <c r="G191" s="17" t="s">
        <v>147</v>
      </c>
      <c r="H191" s="17" t="s">
        <v>11</v>
      </c>
      <c r="I191" s="17">
        <v>3876</v>
      </c>
      <c r="J191" s="17">
        <v>861</v>
      </c>
      <c r="K191" s="18">
        <v>3337236</v>
      </c>
    </row>
    <row r="192" spans="1:11" x14ac:dyDescent="0.3">
      <c r="A192" s="17" t="s">
        <v>67</v>
      </c>
      <c r="B192" s="15" t="s">
        <v>247</v>
      </c>
      <c r="C192" s="16" t="s">
        <v>240</v>
      </c>
      <c r="D192" s="17" t="s">
        <v>72</v>
      </c>
      <c r="E192" s="17" t="s">
        <v>9</v>
      </c>
      <c r="F192" s="17" t="s">
        <v>149</v>
      </c>
      <c r="G192" s="17" t="s">
        <v>150</v>
      </c>
      <c r="H192" s="17" t="s">
        <v>11</v>
      </c>
      <c r="I192" s="17">
        <v>8887</v>
      </c>
      <c r="J192" s="17">
        <v>717</v>
      </c>
      <c r="K192" s="18">
        <v>6371979</v>
      </c>
    </row>
    <row r="193" spans="1:11" x14ac:dyDescent="0.3">
      <c r="A193" s="17" t="s">
        <v>67</v>
      </c>
      <c r="B193" s="15" t="s">
        <v>248</v>
      </c>
      <c r="C193" s="16" t="s">
        <v>240</v>
      </c>
      <c r="D193" s="17" t="s">
        <v>72</v>
      </c>
      <c r="E193" s="17" t="s">
        <v>43</v>
      </c>
      <c r="F193" s="17" t="s">
        <v>152</v>
      </c>
      <c r="G193" s="17" t="s">
        <v>153</v>
      </c>
      <c r="H193" s="17" t="s">
        <v>11</v>
      </c>
      <c r="I193" s="17">
        <v>3673</v>
      </c>
      <c r="J193" s="17">
        <v>619</v>
      </c>
      <c r="K193" s="18">
        <v>2273587</v>
      </c>
    </row>
    <row r="194" spans="1:11" x14ac:dyDescent="0.3">
      <c r="A194" s="17" t="s">
        <v>67</v>
      </c>
      <c r="B194" s="15" t="s">
        <v>249</v>
      </c>
      <c r="C194" s="16" t="s">
        <v>240</v>
      </c>
      <c r="D194" s="17" t="s">
        <v>82</v>
      </c>
      <c r="E194" s="17" t="s">
        <v>17</v>
      </c>
      <c r="F194" s="17" t="s">
        <v>155</v>
      </c>
      <c r="G194" s="17" t="s">
        <v>65</v>
      </c>
      <c r="H194" s="17" t="s">
        <v>11</v>
      </c>
      <c r="I194" s="17">
        <v>7588</v>
      </c>
      <c r="J194" s="17">
        <v>607</v>
      </c>
      <c r="K194" s="18">
        <v>4605916</v>
      </c>
    </row>
    <row r="195" spans="1:11" x14ac:dyDescent="0.3">
      <c r="A195" s="17" t="s">
        <v>67</v>
      </c>
      <c r="B195" s="15" t="s">
        <v>250</v>
      </c>
      <c r="C195" s="16" t="s">
        <v>240</v>
      </c>
      <c r="D195" s="17" t="s">
        <v>82</v>
      </c>
      <c r="E195" s="17" t="s">
        <v>17</v>
      </c>
      <c r="F195" s="17" t="s">
        <v>18</v>
      </c>
      <c r="G195" s="17" t="s">
        <v>65</v>
      </c>
      <c r="H195" s="17" t="s">
        <v>11</v>
      </c>
      <c r="I195" s="17">
        <v>5137</v>
      </c>
      <c r="J195" s="17">
        <v>690</v>
      </c>
      <c r="K195" s="18">
        <v>3544530</v>
      </c>
    </row>
    <row r="196" spans="1:11" x14ac:dyDescent="0.3">
      <c r="A196" s="17" t="s">
        <v>67</v>
      </c>
      <c r="B196" s="15" t="s">
        <v>251</v>
      </c>
      <c r="C196" s="16" t="s">
        <v>240</v>
      </c>
      <c r="D196" s="17" t="s">
        <v>82</v>
      </c>
      <c r="E196" s="17" t="s">
        <v>43</v>
      </c>
      <c r="F196" s="17" t="s">
        <v>104</v>
      </c>
      <c r="G196" s="17" t="s">
        <v>74</v>
      </c>
      <c r="H196" s="17" t="s">
        <v>33</v>
      </c>
      <c r="I196" s="17">
        <v>5813</v>
      </c>
      <c r="J196" s="17">
        <v>673</v>
      </c>
      <c r="K196" s="18">
        <v>3912149</v>
      </c>
    </row>
    <row r="197" spans="1:11" x14ac:dyDescent="0.3">
      <c r="A197" s="17" t="s">
        <v>67</v>
      </c>
      <c r="B197" s="15" t="s">
        <v>252</v>
      </c>
      <c r="C197" s="16" t="s">
        <v>240</v>
      </c>
      <c r="D197" s="17" t="s">
        <v>82</v>
      </c>
      <c r="E197" s="17" t="s">
        <v>17</v>
      </c>
      <c r="F197" s="17" t="s">
        <v>106</v>
      </c>
      <c r="G197" s="17" t="s">
        <v>98</v>
      </c>
      <c r="H197" s="17" t="s">
        <v>33</v>
      </c>
      <c r="I197" s="17">
        <v>7330</v>
      </c>
      <c r="J197" s="17">
        <v>599</v>
      </c>
      <c r="K197" s="18">
        <v>4390670</v>
      </c>
    </row>
    <row r="198" spans="1:11" x14ac:dyDescent="0.3">
      <c r="A198" s="17" t="s">
        <v>67</v>
      </c>
      <c r="B198" s="15" t="s">
        <v>253</v>
      </c>
      <c r="C198" s="16" t="s">
        <v>240</v>
      </c>
      <c r="D198" s="17" t="s">
        <v>82</v>
      </c>
      <c r="E198" s="17" t="s">
        <v>17</v>
      </c>
      <c r="F198" s="17" t="s">
        <v>108</v>
      </c>
      <c r="G198" s="17" t="s">
        <v>65</v>
      </c>
      <c r="H198" s="17" t="s">
        <v>33</v>
      </c>
      <c r="I198" s="17">
        <v>8139</v>
      </c>
      <c r="J198" s="17">
        <v>655</v>
      </c>
      <c r="K198" s="18">
        <v>5331045</v>
      </c>
    </row>
    <row r="199" spans="1:11" x14ac:dyDescent="0.3">
      <c r="A199" s="17" t="s">
        <v>67</v>
      </c>
      <c r="B199" s="15" t="s">
        <v>254</v>
      </c>
      <c r="C199" s="16" t="s">
        <v>240</v>
      </c>
      <c r="D199" s="17" t="s">
        <v>82</v>
      </c>
      <c r="E199" s="17" t="s">
        <v>20</v>
      </c>
      <c r="F199" s="17" t="s">
        <v>110</v>
      </c>
      <c r="G199" s="17" t="s">
        <v>68</v>
      </c>
      <c r="H199" s="17" t="s">
        <v>11</v>
      </c>
      <c r="I199" s="17">
        <v>8203</v>
      </c>
      <c r="J199" s="17">
        <v>918</v>
      </c>
      <c r="K199" s="18">
        <v>7530354</v>
      </c>
    </row>
    <row r="200" spans="1:11" x14ac:dyDescent="0.3">
      <c r="A200" s="17" t="s">
        <v>161</v>
      </c>
      <c r="B200" s="15" t="s">
        <v>255</v>
      </c>
      <c r="C200" s="16" t="s">
        <v>240</v>
      </c>
      <c r="D200" s="17" t="s">
        <v>182</v>
      </c>
      <c r="E200" s="17" t="s">
        <v>9</v>
      </c>
      <c r="F200" s="17" t="s">
        <v>10</v>
      </c>
      <c r="G200" s="17" t="s">
        <v>10</v>
      </c>
      <c r="H200" s="17" t="s">
        <v>11</v>
      </c>
      <c r="I200" s="17">
        <v>1918</v>
      </c>
      <c r="J200" s="17">
        <v>866</v>
      </c>
      <c r="K200" s="18">
        <v>1660988</v>
      </c>
    </row>
    <row r="201" spans="1:11" x14ac:dyDescent="0.3">
      <c r="A201" s="17" t="s">
        <v>161</v>
      </c>
      <c r="B201" s="15" t="s">
        <v>256</v>
      </c>
      <c r="C201" s="16" t="s">
        <v>240</v>
      </c>
      <c r="D201" s="17" t="s">
        <v>182</v>
      </c>
      <c r="E201" s="17" t="s">
        <v>14</v>
      </c>
      <c r="F201" s="17" t="s">
        <v>15</v>
      </c>
      <c r="G201" s="17" t="s">
        <v>64</v>
      </c>
      <c r="H201" s="17" t="s">
        <v>11</v>
      </c>
      <c r="I201" s="17">
        <v>7692</v>
      </c>
      <c r="J201" s="17">
        <v>958</v>
      </c>
      <c r="K201" s="18">
        <v>7368936</v>
      </c>
    </row>
    <row r="202" spans="1:11" x14ac:dyDescent="0.3">
      <c r="A202" s="17" t="s">
        <v>161</v>
      </c>
      <c r="B202" s="15" t="s">
        <v>257</v>
      </c>
      <c r="C202" s="16" t="s">
        <v>240</v>
      </c>
      <c r="D202" s="17" t="s">
        <v>182</v>
      </c>
      <c r="E202" s="17" t="s">
        <v>17</v>
      </c>
      <c r="F202" s="17" t="s">
        <v>18</v>
      </c>
      <c r="G202" s="17" t="s">
        <v>65</v>
      </c>
      <c r="H202" s="17" t="s">
        <v>11</v>
      </c>
      <c r="I202" s="17">
        <v>8066</v>
      </c>
      <c r="J202" s="17">
        <v>985</v>
      </c>
      <c r="K202" s="18">
        <v>7945010</v>
      </c>
    </row>
    <row r="203" spans="1:11" x14ac:dyDescent="0.3">
      <c r="A203" s="17" t="s">
        <v>161</v>
      </c>
      <c r="B203" s="15" t="s">
        <v>258</v>
      </c>
      <c r="C203" s="16" t="s">
        <v>240</v>
      </c>
      <c r="D203" s="17" t="s">
        <v>182</v>
      </c>
      <c r="E203" s="17" t="s">
        <v>20</v>
      </c>
      <c r="F203" s="17" t="s">
        <v>21</v>
      </c>
      <c r="G203" s="17" t="s">
        <v>66</v>
      </c>
      <c r="H203" s="17" t="s">
        <v>11</v>
      </c>
      <c r="I203" s="17">
        <v>5931</v>
      </c>
      <c r="J203" s="17">
        <v>652</v>
      </c>
      <c r="K203" s="18">
        <v>3867012</v>
      </c>
    </row>
    <row r="204" spans="1:11" x14ac:dyDescent="0.3">
      <c r="A204" s="17" t="s">
        <v>161</v>
      </c>
      <c r="B204" s="15" t="s">
        <v>259</v>
      </c>
      <c r="C204" s="16" t="s">
        <v>240</v>
      </c>
      <c r="D204" s="17" t="s">
        <v>182</v>
      </c>
      <c r="E204" s="17" t="s">
        <v>20</v>
      </c>
      <c r="F204" s="17" t="s">
        <v>24</v>
      </c>
      <c r="G204" s="17" t="s">
        <v>68</v>
      </c>
      <c r="H204" s="17" t="s">
        <v>33</v>
      </c>
      <c r="I204" s="17">
        <v>5555</v>
      </c>
      <c r="J204" s="17">
        <v>506</v>
      </c>
      <c r="K204" s="18">
        <v>2810830</v>
      </c>
    </row>
    <row r="205" spans="1:11" x14ac:dyDescent="0.3">
      <c r="A205" s="17" t="s">
        <v>161</v>
      </c>
      <c r="B205" s="15" t="s">
        <v>260</v>
      </c>
      <c r="C205" s="16" t="s">
        <v>240</v>
      </c>
      <c r="D205" s="17" t="s">
        <v>182</v>
      </c>
      <c r="E205" s="17" t="s">
        <v>20</v>
      </c>
      <c r="F205" s="17" t="s">
        <v>26</v>
      </c>
      <c r="G205" s="17" t="s">
        <v>69</v>
      </c>
      <c r="H205" s="17" t="s">
        <v>33</v>
      </c>
      <c r="I205" s="17">
        <v>7543</v>
      </c>
      <c r="J205" s="17">
        <v>815</v>
      </c>
      <c r="K205" s="18">
        <v>6147545</v>
      </c>
    </row>
    <row r="206" spans="1:11" x14ac:dyDescent="0.3">
      <c r="A206" s="17" t="s">
        <v>161</v>
      </c>
      <c r="B206" s="15" t="s">
        <v>261</v>
      </c>
      <c r="C206" s="16" t="s">
        <v>240</v>
      </c>
      <c r="D206" s="17" t="s">
        <v>182</v>
      </c>
      <c r="E206" s="17" t="s">
        <v>14</v>
      </c>
      <c r="F206" s="17" t="s">
        <v>28</v>
      </c>
      <c r="G206" s="17" t="s">
        <v>70</v>
      </c>
      <c r="H206" s="17" t="s">
        <v>33</v>
      </c>
      <c r="I206" s="17">
        <v>7725</v>
      </c>
      <c r="J206" s="17">
        <v>964</v>
      </c>
      <c r="K206" s="18">
        <v>7446900</v>
      </c>
    </row>
    <row r="207" spans="1:11" x14ac:dyDescent="0.3">
      <c r="A207" s="17" t="s">
        <v>161</v>
      </c>
      <c r="B207" s="15" t="s">
        <v>262</v>
      </c>
      <c r="C207" s="16" t="s">
        <v>240</v>
      </c>
      <c r="D207" s="17" t="s">
        <v>182</v>
      </c>
      <c r="E207" s="17" t="s">
        <v>14</v>
      </c>
      <c r="F207" s="17" t="s">
        <v>30</v>
      </c>
      <c r="G207" s="17" t="s">
        <v>64</v>
      </c>
      <c r="H207" s="17" t="s">
        <v>33</v>
      </c>
      <c r="I207" s="17">
        <v>7125</v>
      </c>
      <c r="J207" s="17">
        <v>720</v>
      </c>
      <c r="K207" s="18">
        <v>5130000</v>
      </c>
    </row>
    <row r="208" spans="1:11" x14ac:dyDescent="0.3">
      <c r="A208" s="17" t="s">
        <v>161</v>
      </c>
      <c r="B208" s="15" t="s">
        <v>263</v>
      </c>
      <c r="C208" s="16" t="s">
        <v>240</v>
      </c>
      <c r="D208" s="17" t="s">
        <v>182</v>
      </c>
      <c r="E208" s="17" t="s">
        <v>9</v>
      </c>
      <c r="F208" s="17" t="s">
        <v>32</v>
      </c>
      <c r="G208" s="17" t="s">
        <v>93</v>
      </c>
      <c r="H208" s="17" t="s">
        <v>33</v>
      </c>
      <c r="I208" s="17">
        <v>1784</v>
      </c>
      <c r="J208" s="17">
        <v>820</v>
      </c>
      <c r="K208" s="18">
        <v>1462880</v>
      </c>
    </row>
    <row r="209" spans="1:11" x14ac:dyDescent="0.3">
      <c r="A209" s="17" t="s">
        <v>161</v>
      </c>
      <c r="B209" s="15" t="s">
        <v>264</v>
      </c>
      <c r="C209" s="16" t="s">
        <v>240</v>
      </c>
      <c r="D209" s="17" t="s">
        <v>182</v>
      </c>
      <c r="E209" s="17" t="s">
        <v>14</v>
      </c>
      <c r="F209" s="17" t="s">
        <v>35</v>
      </c>
      <c r="G209" s="17" t="s">
        <v>70</v>
      </c>
      <c r="H209" s="17" t="s">
        <v>33</v>
      </c>
      <c r="I209" s="17">
        <v>6571</v>
      </c>
      <c r="J209" s="17">
        <v>799</v>
      </c>
      <c r="K209" s="18">
        <v>5250229</v>
      </c>
    </row>
    <row r="210" spans="1:11" x14ac:dyDescent="0.3">
      <c r="A210" s="17" t="s">
        <v>161</v>
      </c>
      <c r="B210" s="15" t="s">
        <v>265</v>
      </c>
      <c r="C210" s="16" t="s">
        <v>240</v>
      </c>
      <c r="D210" s="17" t="s">
        <v>182</v>
      </c>
      <c r="E210" s="17" t="s">
        <v>9</v>
      </c>
      <c r="F210" s="17" t="s">
        <v>37</v>
      </c>
      <c r="G210" s="17" t="s">
        <v>84</v>
      </c>
      <c r="H210" s="17" t="s">
        <v>33</v>
      </c>
      <c r="I210" s="17">
        <v>6742</v>
      </c>
      <c r="J210" s="17">
        <v>544</v>
      </c>
      <c r="K210" s="18">
        <v>3667648</v>
      </c>
    </row>
    <row r="211" spans="1:11" x14ac:dyDescent="0.3">
      <c r="A211" s="17" t="s">
        <v>161</v>
      </c>
      <c r="B211" s="15" t="s">
        <v>266</v>
      </c>
      <c r="C211" s="16" t="s">
        <v>240</v>
      </c>
      <c r="D211" s="17" t="s">
        <v>182</v>
      </c>
      <c r="E211" s="17" t="s">
        <v>9</v>
      </c>
      <c r="F211" s="17" t="s">
        <v>39</v>
      </c>
      <c r="G211" s="17" t="s">
        <v>84</v>
      </c>
      <c r="H211" s="17" t="s">
        <v>11</v>
      </c>
      <c r="I211" s="17">
        <v>7493</v>
      </c>
      <c r="J211" s="17">
        <v>704</v>
      </c>
      <c r="K211" s="18">
        <v>5275072</v>
      </c>
    </row>
    <row r="212" spans="1:11" x14ac:dyDescent="0.3">
      <c r="A212" s="17" t="s">
        <v>67</v>
      </c>
      <c r="B212" s="15" t="s">
        <v>267</v>
      </c>
      <c r="C212" s="16" t="s">
        <v>240</v>
      </c>
      <c r="D212" s="17" t="s">
        <v>82</v>
      </c>
      <c r="E212" s="17" t="s">
        <v>14</v>
      </c>
      <c r="F212" s="17" t="s">
        <v>41</v>
      </c>
      <c r="G212" s="17" t="s">
        <v>64</v>
      </c>
      <c r="H212" s="17" t="s">
        <v>11</v>
      </c>
      <c r="I212" s="17">
        <v>2130</v>
      </c>
      <c r="J212" s="17">
        <v>800</v>
      </c>
      <c r="K212" s="18">
        <v>1704000</v>
      </c>
    </row>
    <row r="213" spans="1:11" x14ac:dyDescent="0.3">
      <c r="A213" s="17" t="s">
        <v>67</v>
      </c>
      <c r="B213" s="15" t="s">
        <v>268</v>
      </c>
      <c r="C213" s="16" t="s">
        <v>240</v>
      </c>
      <c r="D213" s="17" t="s">
        <v>82</v>
      </c>
      <c r="E213" s="17" t="s">
        <v>43</v>
      </c>
      <c r="F213" s="17" t="s">
        <v>44</v>
      </c>
      <c r="G213" s="17" t="s">
        <v>74</v>
      </c>
      <c r="H213" s="17" t="s">
        <v>11</v>
      </c>
      <c r="I213" s="17">
        <v>4543</v>
      </c>
      <c r="J213" s="17">
        <v>785</v>
      </c>
      <c r="K213" s="18">
        <v>3566255</v>
      </c>
    </row>
    <row r="214" spans="1:11" x14ac:dyDescent="0.3">
      <c r="A214" s="17" t="s">
        <v>67</v>
      </c>
      <c r="B214" s="15" t="s">
        <v>269</v>
      </c>
      <c r="C214" s="16" t="s">
        <v>240</v>
      </c>
      <c r="D214" s="17" t="s">
        <v>82</v>
      </c>
      <c r="E214" s="17" t="s">
        <v>14</v>
      </c>
      <c r="F214" s="17" t="s">
        <v>47</v>
      </c>
      <c r="G214" s="17" t="s">
        <v>64</v>
      </c>
      <c r="H214" s="17" t="s">
        <v>11</v>
      </c>
      <c r="I214" s="17">
        <v>6128</v>
      </c>
      <c r="J214" s="17">
        <v>944</v>
      </c>
      <c r="K214" s="18">
        <v>5784832</v>
      </c>
    </row>
    <row r="215" spans="1:11" x14ac:dyDescent="0.3">
      <c r="A215" s="17" t="s">
        <v>67</v>
      </c>
      <c r="B215" s="15" t="s">
        <v>270</v>
      </c>
      <c r="C215" s="16" t="s">
        <v>240</v>
      </c>
      <c r="D215" s="17" t="s">
        <v>82</v>
      </c>
      <c r="E215" s="17" t="s">
        <v>49</v>
      </c>
      <c r="F215" s="17" t="s">
        <v>50</v>
      </c>
      <c r="G215" s="17" t="s">
        <v>50</v>
      </c>
      <c r="H215" s="17" t="s">
        <v>33</v>
      </c>
      <c r="I215" s="17">
        <v>6210</v>
      </c>
      <c r="J215" s="17">
        <v>638</v>
      </c>
      <c r="K215" s="18">
        <v>3961980</v>
      </c>
    </row>
    <row r="216" spans="1:11" x14ac:dyDescent="0.3">
      <c r="A216" s="17" t="s">
        <v>67</v>
      </c>
      <c r="B216" s="15" t="s">
        <v>271</v>
      </c>
      <c r="C216" s="16" t="s">
        <v>240</v>
      </c>
      <c r="D216" s="17" t="s">
        <v>82</v>
      </c>
      <c r="E216" s="17" t="s">
        <v>43</v>
      </c>
      <c r="F216" s="17" t="s">
        <v>52</v>
      </c>
      <c r="G216" s="17" t="s">
        <v>74</v>
      </c>
      <c r="H216" s="17" t="s">
        <v>11</v>
      </c>
      <c r="I216" s="17">
        <v>8028</v>
      </c>
      <c r="J216" s="17">
        <v>949</v>
      </c>
      <c r="K216" s="18">
        <v>7618572</v>
      </c>
    </row>
    <row r="217" spans="1:11" x14ac:dyDescent="0.3">
      <c r="A217" s="17" t="s">
        <v>67</v>
      </c>
      <c r="B217" s="15" t="s">
        <v>272</v>
      </c>
      <c r="C217" s="16" t="s">
        <v>240</v>
      </c>
      <c r="D217" s="17" t="s">
        <v>82</v>
      </c>
      <c r="E217" s="17" t="s">
        <v>20</v>
      </c>
      <c r="F217" s="17" t="s">
        <v>54</v>
      </c>
      <c r="G217" s="17" t="s">
        <v>76</v>
      </c>
      <c r="H217" s="17" t="s">
        <v>11</v>
      </c>
      <c r="I217" s="17">
        <v>2734</v>
      </c>
      <c r="J217" s="17">
        <v>530</v>
      </c>
      <c r="K217" s="18">
        <v>1449020</v>
      </c>
    </row>
    <row r="218" spans="1:11" x14ac:dyDescent="0.3">
      <c r="A218" s="17" t="s">
        <v>67</v>
      </c>
      <c r="B218" s="15" t="s">
        <v>273</v>
      </c>
      <c r="C218" s="16" t="s">
        <v>240</v>
      </c>
      <c r="D218" s="17" t="s">
        <v>82</v>
      </c>
      <c r="E218" s="17" t="s">
        <v>17</v>
      </c>
      <c r="F218" s="17" t="s">
        <v>56</v>
      </c>
      <c r="G218" s="17" t="s">
        <v>78</v>
      </c>
      <c r="H218" s="17" t="s">
        <v>11</v>
      </c>
      <c r="I218" s="17">
        <v>2144</v>
      </c>
      <c r="J218" s="17">
        <v>505</v>
      </c>
      <c r="K218" s="18">
        <v>1082720</v>
      </c>
    </row>
    <row r="219" spans="1:11" x14ac:dyDescent="0.3">
      <c r="A219" s="17" t="s">
        <v>161</v>
      </c>
      <c r="B219" s="15" t="s">
        <v>274</v>
      </c>
      <c r="C219" s="16" t="s">
        <v>240</v>
      </c>
      <c r="D219" s="17" t="s">
        <v>162</v>
      </c>
      <c r="E219" s="17" t="s">
        <v>14</v>
      </c>
      <c r="F219" s="17" t="s">
        <v>80</v>
      </c>
      <c r="G219" s="17" t="s">
        <v>70</v>
      </c>
      <c r="H219" s="17" t="s">
        <v>11</v>
      </c>
      <c r="I219" s="17">
        <v>4799</v>
      </c>
      <c r="J219" s="17">
        <v>769</v>
      </c>
      <c r="K219" s="18">
        <v>3690431</v>
      </c>
    </row>
    <row r="220" spans="1:11" x14ac:dyDescent="0.3">
      <c r="A220" s="17" t="s">
        <v>161</v>
      </c>
      <c r="B220" s="15" t="s">
        <v>275</v>
      </c>
      <c r="C220" s="16" t="s">
        <v>240</v>
      </c>
      <c r="D220" s="17" t="s">
        <v>162</v>
      </c>
      <c r="E220" s="17" t="s">
        <v>9</v>
      </c>
      <c r="F220" s="17" t="s">
        <v>83</v>
      </c>
      <c r="G220" s="17" t="s">
        <v>84</v>
      </c>
      <c r="H220" s="17" t="s">
        <v>33</v>
      </c>
      <c r="I220" s="17">
        <v>4448</v>
      </c>
      <c r="J220" s="17">
        <v>924</v>
      </c>
      <c r="K220" s="18">
        <v>4109952</v>
      </c>
    </row>
    <row r="221" spans="1:11" x14ac:dyDescent="0.3">
      <c r="A221" s="17" t="s">
        <v>161</v>
      </c>
      <c r="B221" s="15" t="s">
        <v>276</v>
      </c>
      <c r="C221" s="16" t="s">
        <v>240</v>
      </c>
      <c r="D221" s="17" t="s">
        <v>162</v>
      </c>
      <c r="E221" s="17" t="s">
        <v>9</v>
      </c>
      <c r="F221" s="17" t="s">
        <v>86</v>
      </c>
      <c r="G221" s="17" t="s">
        <v>84</v>
      </c>
      <c r="H221" s="17" t="s">
        <v>33</v>
      </c>
      <c r="I221" s="17">
        <v>9290</v>
      </c>
      <c r="J221" s="17">
        <v>602</v>
      </c>
      <c r="K221" s="18">
        <v>5592580</v>
      </c>
    </row>
    <row r="222" spans="1:11" x14ac:dyDescent="0.3">
      <c r="A222" s="17" t="s">
        <v>161</v>
      </c>
      <c r="B222" s="15" t="s">
        <v>277</v>
      </c>
      <c r="C222" s="16" t="s">
        <v>240</v>
      </c>
      <c r="D222" s="17" t="s">
        <v>162</v>
      </c>
      <c r="E222" s="17" t="s">
        <v>20</v>
      </c>
      <c r="F222" s="17" t="s">
        <v>88</v>
      </c>
      <c r="G222" s="17" t="s">
        <v>66</v>
      </c>
      <c r="H222" s="17" t="s">
        <v>33</v>
      </c>
      <c r="I222" s="17">
        <v>9736</v>
      </c>
      <c r="J222" s="17">
        <v>555</v>
      </c>
      <c r="K222" s="18">
        <v>5403480</v>
      </c>
    </row>
    <row r="223" spans="1:11" x14ac:dyDescent="0.3">
      <c r="A223" s="17" t="s">
        <v>161</v>
      </c>
      <c r="B223" s="15" t="s">
        <v>278</v>
      </c>
      <c r="C223" s="16" t="s">
        <v>240</v>
      </c>
      <c r="D223" s="17" t="s">
        <v>162</v>
      </c>
      <c r="E223" s="17" t="s">
        <v>20</v>
      </c>
      <c r="F223" s="17" t="s">
        <v>90</v>
      </c>
      <c r="G223" s="17" t="s">
        <v>66</v>
      </c>
      <c r="H223" s="17" t="s">
        <v>33</v>
      </c>
      <c r="I223" s="17">
        <v>9499</v>
      </c>
      <c r="J223" s="17">
        <v>502</v>
      </c>
      <c r="K223" s="18">
        <v>4768498</v>
      </c>
    </row>
    <row r="224" spans="1:11" x14ac:dyDescent="0.3">
      <c r="A224" s="17" t="s">
        <v>161</v>
      </c>
      <c r="B224" s="15" t="s">
        <v>279</v>
      </c>
      <c r="C224" s="16" t="s">
        <v>280</v>
      </c>
      <c r="D224" s="17" t="s">
        <v>162</v>
      </c>
      <c r="E224" s="17" t="s">
        <v>9</v>
      </c>
      <c r="F224" s="17" t="s">
        <v>92</v>
      </c>
      <c r="G224" s="17" t="s">
        <v>93</v>
      </c>
      <c r="H224" s="17" t="s">
        <v>33</v>
      </c>
      <c r="I224" s="17">
        <v>4981</v>
      </c>
      <c r="J224" s="17">
        <v>743</v>
      </c>
      <c r="K224" s="18">
        <v>3700883</v>
      </c>
    </row>
    <row r="225" spans="1:11" x14ac:dyDescent="0.3">
      <c r="A225" s="17" t="s">
        <v>161</v>
      </c>
      <c r="B225" s="15" t="s">
        <v>281</v>
      </c>
      <c r="C225" s="16" t="s">
        <v>280</v>
      </c>
      <c r="D225" s="17" t="s">
        <v>162</v>
      </c>
      <c r="E225" s="17" t="s">
        <v>9</v>
      </c>
      <c r="F225" s="17" t="s">
        <v>95</v>
      </c>
      <c r="G225" s="17" t="s">
        <v>84</v>
      </c>
      <c r="H225" s="17" t="s">
        <v>33</v>
      </c>
      <c r="I225" s="17">
        <v>2084</v>
      </c>
      <c r="J225" s="17">
        <v>796</v>
      </c>
      <c r="K225" s="18">
        <v>1658864</v>
      </c>
    </row>
    <row r="226" spans="1:11" x14ac:dyDescent="0.3">
      <c r="A226" s="17" t="s">
        <v>67</v>
      </c>
      <c r="B226" s="15" t="s">
        <v>282</v>
      </c>
      <c r="C226" s="16" t="s">
        <v>280</v>
      </c>
      <c r="D226" s="17" t="s">
        <v>72</v>
      </c>
      <c r="E226" s="17" t="s">
        <v>17</v>
      </c>
      <c r="F226" s="17" t="s">
        <v>97</v>
      </c>
      <c r="G226" s="17" t="s">
        <v>98</v>
      </c>
      <c r="H226" s="17" t="s">
        <v>33</v>
      </c>
      <c r="I226" s="17">
        <v>4280</v>
      </c>
      <c r="J226" s="17">
        <v>942</v>
      </c>
      <c r="K226" s="18">
        <v>4031760</v>
      </c>
    </row>
    <row r="227" spans="1:11" x14ac:dyDescent="0.3">
      <c r="A227" s="17" t="s">
        <v>67</v>
      </c>
      <c r="B227" s="15" t="s">
        <v>283</v>
      </c>
      <c r="C227" s="16" t="s">
        <v>280</v>
      </c>
      <c r="D227" s="17" t="s">
        <v>72</v>
      </c>
      <c r="E227" s="17" t="s">
        <v>20</v>
      </c>
      <c r="F227" s="17" t="s">
        <v>134</v>
      </c>
      <c r="G227" s="17" t="s">
        <v>135</v>
      </c>
      <c r="H227" s="17" t="s">
        <v>33</v>
      </c>
      <c r="I227" s="17">
        <v>8113</v>
      </c>
      <c r="J227" s="17">
        <v>944</v>
      </c>
      <c r="K227" s="18">
        <v>7658672</v>
      </c>
    </row>
    <row r="228" spans="1:11" x14ac:dyDescent="0.3">
      <c r="A228" s="17" t="s">
        <v>67</v>
      </c>
      <c r="B228" s="15" t="s">
        <v>284</v>
      </c>
      <c r="C228" s="16" t="s">
        <v>280</v>
      </c>
      <c r="D228" s="17" t="s">
        <v>72</v>
      </c>
      <c r="E228" s="17" t="s">
        <v>14</v>
      </c>
      <c r="F228" s="17" t="s">
        <v>137</v>
      </c>
      <c r="G228" s="17" t="s">
        <v>64</v>
      </c>
      <c r="H228" s="17" t="s">
        <v>33</v>
      </c>
      <c r="I228" s="17">
        <v>4722</v>
      </c>
      <c r="J228" s="17">
        <v>609</v>
      </c>
      <c r="K228" s="18">
        <v>2875698</v>
      </c>
    </row>
    <row r="229" spans="1:11" x14ac:dyDescent="0.3">
      <c r="A229" s="17" t="s">
        <v>67</v>
      </c>
      <c r="B229" s="15" t="s">
        <v>285</v>
      </c>
      <c r="C229" s="16" t="s">
        <v>280</v>
      </c>
      <c r="D229" s="17" t="s">
        <v>72</v>
      </c>
      <c r="E229" s="17" t="s">
        <v>9</v>
      </c>
      <c r="F229" s="17" t="s">
        <v>139</v>
      </c>
      <c r="G229" s="17" t="s">
        <v>140</v>
      </c>
      <c r="H229" s="17" t="s">
        <v>33</v>
      </c>
      <c r="I229" s="17">
        <v>7358</v>
      </c>
      <c r="J229" s="17">
        <v>993</v>
      </c>
      <c r="K229" s="18">
        <v>7306494</v>
      </c>
    </row>
    <row r="230" spans="1:11" x14ac:dyDescent="0.3">
      <c r="A230" s="17" t="s">
        <v>67</v>
      </c>
      <c r="B230" s="15" t="s">
        <v>286</v>
      </c>
      <c r="C230" s="16" t="s">
        <v>280</v>
      </c>
      <c r="D230" s="17" t="s">
        <v>72</v>
      </c>
      <c r="E230" s="17" t="s">
        <v>9</v>
      </c>
      <c r="F230" s="17" t="s">
        <v>142</v>
      </c>
      <c r="G230" s="17" t="s">
        <v>143</v>
      </c>
      <c r="H230" s="17" t="s">
        <v>33</v>
      </c>
      <c r="I230" s="17">
        <v>2970</v>
      </c>
      <c r="J230" s="17">
        <v>725</v>
      </c>
      <c r="K230" s="18">
        <v>2153250</v>
      </c>
    </row>
    <row r="231" spans="1:11" x14ac:dyDescent="0.3">
      <c r="A231" s="17" t="s">
        <v>67</v>
      </c>
      <c r="B231" s="15" t="s">
        <v>287</v>
      </c>
      <c r="C231" s="16" t="s">
        <v>280</v>
      </c>
      <c r="D231" s="17" t="s">
        <v>82</v>
      </c>
      <c r="E231" s="17" t="s">
        <v>145</v>
      </c>
      <c r="F231" s="17" t="s">
        <v>146</v>
      </c>
      <c r="G231" s="17" t="s">
        <v>147</v>
      </c>
      <c r="H231" s="17" t="s">
        <v>33</v>
      </c>
      <c r="I231" s="17">
        <v>1939</v>
      </c>
      <c r="J231" s="17">
        <v>537</v>
      </c>
      <c r="K231" s="18">
        <v>1041243</v>
      </c>
    </row>
    <row r="232" spans="1:11" x14ac:dyDescent="0.3">
      <c r="A232" s="17" t="s">
        <v>67</v>
      </c>
      <c r="B232" s="15" t="s">
        <v>288</v>
      </c>
      <c r="C232" s="16" t="s">
        <v>280</v>
      </c>
      <c r="D232" s="17" t="s">
        <v>82</v>
      </c>
      <c r="E232" s="17" t="s">
        <v>9</v>
      </c>
      <c r="F232" s="17" t="s">
        <v>149</v>
      </c>
      <c r="G232" s="17" t="s">
        <v>150</v>
      </c>
      <c r="H232" s="17" t="s">
        <v>33</v>
      </c>
      <c r="I232" s="17">
        <v>5112</v>
      </c>
      <c r="J232" s="17">
        <v>787</v>
      </c>
      <c r="K232" s="18">
        <v>4023144</v>
      </c>
    </row>
    <row r="233" spans="1:11" x14ac:dyDescent="0.3">
      <c r="A233" s="17" t="s">
        <v>67</v>
      </c>
      <c r="B233" s="15" t="s">
        <v>289</v>
      </c>
      <c r="C233" s="16" t="s">
        <v>280</v>
      </c>
      <c r="D233" s="17" t="s">
        <v>82</v>
      </c>
      <c r="E233" s="17" t="s">
        <v>43</v>
      </c>
      <c r="F233" s="17" t="s">
        <v>152</v>
      </c>
      <c r="G233" s="17" t="s">
        <v>153</v>
      </c>
      <c r="H233" s="17" t="s">
        <v>33</v>
      </c>
      <c r="I233" s="17">
        <v>6357</v>
      </c>
      <c r="J233" s="17">
        <v>935</v>
      </c>
      <c r="K233" s="18">
        <v>5943795</v>
      </c>
    </row>
    <row r="234" spans="1:11" x14ac:dyDescent="0.3">
      <c r="A234" s="17" t="s">
        <v>67</v>
      </c>
      <c r="B234" s="15" t="s">
        <v>290</v>
      </c>
      <c r="C234" s="16" t="s">
        <v>280</v>
      </c>
      <c r="D234" s="17" t="s">
        <v>82</v>
      </c>
      <c r="E234" s="17" t="s">
        <v>17</v>
      </c>
      <c r="F234" s="17" t="s">
        <v>155</v>
      </c>
      <c r="G234" s="17" t="s">
        <v>65</v>
      </c>
      <c r="H234" s="17" t="s">
        <v>33</v>
      </c>
      <c r="I234" s="17">
        <v>4535</v>
      </c>
      <c r="J234" s="17">
        <v>634</v>
      </c>
      <c r="K234" s="18">
        <v>2875190</v>
      </c>
    </row>
    <row r="235" spans="1:11" x14ac:dyDescent="0.3">
      <c r="A235" s="17" t="s">
        <v>67</v>
      </c>
      <c r="B235" s="15" t="s">
        <v>291</v>
      </c>
      <c r="C235" s="16" t="s">
        <v>280</v>
      </c>
      <c r="D235" s="17" t="s">
        <v>82</v>
      </c>
      <c r="E235" s="17" t="s">
        <v>17</v>
      </c>
      <c r="F235" s="17" t="s">
        <v>18</v>
      </c>
      <c r="G235" s="17" t="s">
        <v>65</v>
      </c>
      <c r="H235" s="17" t="s">
        <v>11</v>
      </c>
      <c r="I235" s="17">
        <v>3944</v>
      </c>
      <c r="J235" s="17">
        <v>813</v>
      </c>
      <c r="K235" s="18">
        <v>3206472</v>
      </c>
    </row>
    <row r="236" spans="1:11" x14ac:dyDescent="0.3">
      <c r="A236" s="17" t="s">
        <v>67</v>
      </c>
      <c r="B236" s="15" t="s">
        <v>292</v>
      </c>
      <c r="C236" s="16" t="s">
        <v>280</v>
      </c>
      <c r="D236" s="17" t="s">
        <v>82</v>
      </c>
      <c r="E236" s="17" t="s">
        <v>43</v>
      </c>
      <c r="F236" s="17" t="s">
        <v>104</v>
      </c>
      <c r="G236" s="17" t="s">
        <v>74</v>
      </c>
      <c r="H236" s="17" t="s">
        <v>11</v>
      </c>
      <c r="I236" s="17">
        <v>2920</v>
      </c>
      <c r="J236" s="17">
        <v>859</v>
      </c>
      <c r="K236" s="18">
        <v>2508280</v>
      </c>
    </row>
    <row r="237" spans="1:11" x14ac:dyDescent="0.3">
      <c r="A237" s="17" t="s">
        <v>161</v>
      </c>
      <c r="B237" s="15" t="s">
        <v>293</v>
      </c>
      <c r="C237" s="16" t="s">
        <v>280</v>
      </c>
      <c r="D237" s="17" t="s">
        <v>182</v>
      </c>
      <c r="E237" s="17" t="s">
        <v>17</v>
      </c>
      <c r="F237" s="17" t="s">
        <v>106</v>
      </c>
      <c r="G237" s="17" t="s">
        <v>98</v>
      </c>
      <c r="H237" s="17" t="s">
        <v>11</v>
      </c>
      <c r="I237" s="17">
        <v>3074</v>
      </c>
      <c r="J237" s="17">
        <v>507</v>
      </c>
      <c r="K237" s="18">
        <v>1558518</v>
      </c>
    </row>
    <row r="238" spans="1:11" x14ac:dyDescent="0.3">
      <c r="A238" s="17" t="s">
        <v>161</v>
      </c>
      <c r="B238" s="15" t="s">
        <v>294</v>
      </c>
      <c r="C238" s="16" t="s">
        <v>280</v>
      </c>
      <c r="D238" s="17" t="s">
        <v>182</v>
      </c>
      <c r="E238" s="17" t="s">
        <v>17</v>
      </c>
      <c r="F238" s="17" t="s">
        <v>108</v>
      </c>
      <c r="G238" s="17" t="s">
        <v>65</v>
      </c>
      <c r="H238" s="17" t="s">
        <v>11</v>
      </c>
      <c r="I238" s="17">
        <v>1791</v>
      </c>
      <c r="J238" s="17">
        <v>542</v>
      </c>
      <c r="K238" s="18">
        <v>970722</v>
      </c>
    </row>
    <row r="239" spans="1:11" x14ac:dyDescent="0.3">
      <c r="A239" s="17" t="s">
        <v>161</v>
      </c>
      <c r="B239" s="15" t="s">
        <v>295</v>
      </c>
      <c r="C239" s="16" t="s">
        <v>280</v>
      </c>
      <c r="D239" s="17" t="s">
        <v>182</v>
      </c>
      <c r="E239" s="17" t="s">
        <v>20</v>
      </c>
      <c r="F239" s="17" t="s">
        <v>110</v>
      </c>
      <c r="G239" s="17" t="s">
        <v>68</v>
      </c>
      <c r="H239" s="17" t="s">
        <v>11</v>
      </c>
      <c r="I239" s="17">
        <v>4740</v>
      </c>
      <c r="J239" s="17">
        <v>578</v>
      </c>
      <c r="K239" s="18">
        <v>2739720</v>
      </c>
    </row>
    <row r="240" spans="1:11" x14ac:dyDescent="0.3">
      <c r="A240" s="17" t="s">
        <v>161</v>
      </c>
      <c r="B240" s="15" t="s">
        <v>296</v>
      </c>
      <c r="C240" s="16" t="s">
        <v>280</v>
      </c>
      <c r="D240" s="17" t="s">
        <v>182</v>
      </c>
      <c r="E240" s="17" t="s">
        <v>17</v>
      </c>
      <c r="F240" s="17" t="s">
        <v>56</v>
      </c>
      <c r="G240" s="17" t="s">
        <v>78</v>
      </c>
      <c r="H240" s="17" t="s">
        <v>33</v>
      </c>
      <c r="I240" s="17">
        <v>2665</v>
      </c>
      <c r="J240" s="17">
        <v>895</v>
      </c>
      <c r="K240" s="18">
        <v>2385175</v>
      </c>
    </row>
    <row r="241" spans="1:11" x14ac:dyDescent="0.3">
      <c r="A241" s="17" t="s">
        <v>161</v>
      </c>
      <c r="B241" s="15" t="s">
        <v>297</v>
      </c>
      <c r="C241" s="16" t="s">
        <v>280</v>
      </c>
      <c r="D241" s="17" t="s">
        <v>182</v>
      </c>
      <c r="E241" s="17" t="s">
        <v>14</v>
      </c>
      <c r="F241" s="17" t="s">
        <v>80</v>
      </c>
      <c r="G241" s="17" t="s">
        <v>70</v>
      </c>
      <c r="H241" s="17" t="s">
        <v>33</v>
      </c>
      <c r="I241" s="17">
        <v>5636</v>
      </c>
      <c r="J241" s="17">
        <v>565</v>
      </c>
      <c r="K241" s="18">
        <v>3184340</v>
      </c>
    </row>
    <row r="242" spans="1:11" x14ac:dyDescent="0.3">
      <c r="A242" s="17" t="s">
        <v>161</v>
      </c>
      <c r="B242" s="15" t="s">
        <v>298</v>
      </c>
      <c r="C242" s="16" t="s">
        <v>280</v>
      </c>
      <c r="D242" s="17" t="s">
        <v>182</v>
      </c>
      <c r="E242" s="17" t="s">
        <v>9</v>
      </c>
      <c r="F242" s="17" t="s">
        <v>83</v>
      </c>
      <c r="G242" s="17" t="s">
        <v>84</v>
      </c>
      <c r="H242" s="17" t="s">
        <v>33</v>
      </c>
      <c r="I242" s="17">
        <v>5928</v>
      </c>
      <c r="J242" s="17">
        <v>512</v>
      </c>
      <c r="K242" s="18">
        <v>3035136</v>
      </c>
    </row>
    <row r="243" spans="1:11" x14ac:dyDescent="0.3">
      <c r="A243" s="17" t="s">
        <v>161</v>
      </c>
      <c r="B243" s="15" t="s">
        <v>299</v>
      </c>
      <c r="C243" s="16" t="s">
        <v>280</v>
      </c>
      <c r="D243" s="17" t="s">
        <v>182</v>
      </c>
      <c r="E243" s="17" t="s">
        <v>9</v>
      </c>
      <c r="F243" s="17" t="s">
        <v>86</v>
      </c>
      <c r="G243" s="17" t="s">
        <v>84</v>
      </c>
      <c r="H243" s="17" t="s">
        <v>33</v>
      </c>
      <c r="I243" s="17">
        <v>9498</v>
      </c>
      <c r="J243" s="17">
        <v>570</v>
      </c>
      <c r="K243" s="18">
        <v>5413860</v>
      </c>
    </row>
    <row r="244" spans="1:11" x14ac:dyDescent="0.3">
      <c r="A244" s="17" t="s">
        <v>161</v>
      </c>
      <c r="B244" s="15" t="s">
        <v>300</v>
      </c>
      <c r="C244" s="16" t="s">
        <v>280</v>
      </c>
      <c r="D244" s="17" t="s">
        <v>182</v>
      </c>
      <c r="E244" s="17" t="s">
        <v>20</v>
      </c>
      <c r="F244" s="17" t="s">
        <v>88</v>
      </c>
      <c r="G244" s="17" t="s">
        <v>66</v>
      </c>
      <c r="H244" s="17" t="s">
        <v>33</v>
      </c>
      <c r="I244" s="17">
        <v>9558</v>
      </c>
      <c r="J244" s="17">
        <v>617</v>
      </c>
      <c r="K244" s="18">
        <v>5897286</v>
      </c>
    </row>
    <row r="245" spans="1:11" x14ac:dyDescent="0.3">
      <c r="A245" s="17" t="s">
        <v>63</v>
      </c>
      <c r="B245" s="15" t="s">
        <v>301</v>
      </c>
      <c r="C245" s="16" t="s">
        <v>280</v>
      </c>
      <c r="D245" s="17" t="s">
        <v>8</v>
      </c>
      <c r="E245" s="17" t="s">
        <v>20</v>
      </c>
      <c r="F245" s="17" t="s">
        <v>90</v>
      </c>
      <c r="G245" s="17" t="s">
        <v>66</v>
      </c>
      <c r="H245" s="17" t="s">
        <v>33</v>
      </c>
      <c r="I245" s="17">
        <v>2428</v>
      </c>
      <c r="J245" s="17">
        <v>662</v>
      </c>
      <c r="K245" s="18">
        <v>1607336</v>
      </c>
    </row>
    <row r="246" spans="1:11" x14ac:dyDescent="0.3">
      <c r="A246" s="17" t="s">
        <v>63</v>
      </c>
      <c r="B246" s="15" t="s">
        <v>302</v>
      </c>
      <c r="C246" s="16" t="s">
        <v>280</v>
      </c>
      <c r="D246" s="17" t="s">
        <v>13</v>
      </c>
      <c r="E246" s="17" t="s">
        <v>9</v>
      </c>
      <c r="F246" s="17" t="s">
        <v>92</v>
      </c>
      <c r="G246" s="17" t="s">
        <v>93</v>
      </c>
      <c r="H246" s="17" t="s">
        <v>33</v>
      </c>
      <c r="I246" s="17">
        <v>7389</v>
      </c>
      <c r="J246" s="17">
        <v>997</v>
      </c>
      <c r="K246" s="18">
        <v>7366833</v>
      </c>
    </row>
    <row r="247" spans="1:11" x14ac:dyDescent="0.3">
      <c r="A247" s="17" t="s">
        <v>63</v>
      </c>
      <c r="B247" s="15" t="s">
        <v>303</v>
      </c>
      <c r="C247" s="16" t="s">
        <v>280</v>
      </c>
      <c r="D247" s="17" t="s">
        <v>13</v>
      </c>
      <c r="E247" s="17" t="s">
        <v>9</v>
      </c>
      <c r="F247" s="17" t="s">
        <v>95</v>
      </c>
      <c r="G247" s="17" t="s">
        <v>84</v>
      </c>
      <c r="H247" s="17" t="s">
        <v>11</v>
      </c>
      <c r="I247" s="17">
        <v>3703</v>
      </c>
      <c r="J247" s="17">
        <v>568</v>
      </c>
      <c r="K247" s="18">
        <v>2103304</v>
      </c>
    </row>
    <row r="248" spans="1:11" x14ac:dyDescent="0.3">
      <c r="A248" s="17" t="s">
        <v>63</v>
      </c>
      <c r="B248" s="15" t="s">
        <v>304</v>
      </c>
      <c r="C248" s="16" t="s">
        <v>280</v>
      </c>
      <c r="D248" s="17" t="s">
        <v>13</v>
      </c>
      <c r="E248" s="17" t="s">
        <v>17</v>
      </c>
      <c r="F248" s="17" t="s">
        <v>97</v>
      </c>
      <c r="G248" s="17" t="s">
        <v>98</v>
      </c>
      <c r="H248" s="17" t="s">
        <v>11</v>
      </c>
      <c r="I248" s="17">
        <v>6133</v>
      </c>
      <c r="J248" s="17">
        <v>505</v>
      </c>
      <c r="K248" s="18">
        <v>3097165</v>
      </c>
    </row>
    <row r="249" spans="1:11" x14ac:dyDescent="0.3">
      <c r="A249" s="17" t="s">
        <v>67</v>
      </c>
      <c r="B249" s="15" t="s">
        <v>305</v>
      </c>
      <c r="C249" s="16" t="s">
        <v>280</v>
      </c>
      <c r="D249" s="17" t="s">
        <v>23</v>
      </c>
      <c r="E249" s="17" t="s">
        <v>20</v>
      </c>
      <c r="F249" s="17" t="s">
        <v>134</v>
      </c>
      <c r="G249" s="17" t="s">
        <v>135</v>
      </c>
      <c r="H249" s="17" t="s">
        <v>11</v>
      </c>
      <c r="I249" s="17">
        <v>7380</v>
      </c>
      <c r="J249" s="17">
        <v>794</v>
      </c>
      <c r="K249" s="18">
        <v>5859720</v>
      </c>
    </row>
    <row r="250" spans="1:11" x14ac:dyDescent="0.3">
      <c r="A250" s="17" t="s">
        <v>67</v>
      </c>
      <c r="B250" s="15" t="s">
        <v>306</v>
      </c>
      <c r="C250" s="16" t="s">
        <v>280</v>
      </c>
      <c r="D250" s="17" t="s">
        <v>23</v>
      </c>
      <c r="E250" s="17" t="s">
        <v>14</v>
      </c>
      <c r="F250" s="17" t="s">
        <v>137</v>
      </c>
      <c r="G250" s="17" t="s">
        <v>64</v>
      </c>
      <c r="H250" s="17" t="s">
        <v>11</v>
      </c>
      <c r="I250" s="17">
        <v>2440</v>
      </c>
      <c r="J250" s="17">
        <v>815</v>
      </c>
      <c r="K250" s="18">
        <v>1988600</v>
      </c>
    </row>
    <row r="251" spans="1:11" x14ac:dyDescent="0.3">
      <c r="A251" s="17" t="s">
        <v>67</v>
      </c>
      <c r="B251" s="15" t="s">
        <v>307</v>
      </c>
      <c r="C251" s="16" t="s">
        <v>280</v>
      </c>
      <c r="D251" s="17" t="s">
        <v>23</v>
      </c>
      <c r="E251" s="17" t="s">
        <v>9</v>
      </c>
      <c r="F251" s="17" t="s">
        <v>139</v>
      </c>
      <c r="G251" s="17" t="s">
        <v>140</v>
      </c>
      <c r="H251" s="17" t="s">
        <v>33</v>
      </c>
      <c r="I251" s="17">
        <v>4296</v>
      </c>
      <c r="J251" s="17">
        <v>960</v>
      </c>
      <c r="K251" s="18">
        <v>4124160</v>
      </c>
    </row>
    <row r="252" spans="1:11" x14ac:dyDescent="0.3">
      <c r="A252" s="17" t="s">
        <v>67</v>
      </c>
      <c r="B252" s="15" t="s">
        <v>308</v>
      </c>
      <c r="C252" s="16" t="s">
        <v>280</v>
      </c>
      <c r="D252" s="17" t="s">
        <v>23</v>
      </c>
      <c r="E252" s="17" t="s">
        <v>9</v>
      </c>
      <c r="F252" s="17" t="s">
        <v>142</v>
      </c>
      <c r="G252" s="17" t="s">
        <v>143</v>
      </c>
      <c r="H252" s="17" t="s">
        <v>11</v>
      </c>
      <c r="I252" s="17">
        <v>9072</v>
      </c>
      <c r="J252" s="17">
        <v>735</v>
      </c>
      <c r="K252" s="18">
        <v>6667920</v>
      </c>
    </row>
    <row r="253" spans="1:11" x14ac:dyDescent="0.3">
      <c r="A253" s="17" t="s">
        <v>63</v>
      </c>
      <c r="B253" s="15" t="s">
        <v>309</v>
      </c>
      <c r="C253" s="16" t="s">
        <v>280</v>
      </c>
      <c r="D253" s="17" t="s">
        <v>8</v>
      </c>
      <c r="E253" s="17" t="s">
        <v>145</v>
      </c>
      <c r="F253" s="17" t="s">
        <v>146</v>
      </c>
      <c r="G253" s="17" t="s">
        <v>147</v>
      </c>
      <c r="H253" s="17" t="s">
        <v>11</v>
      </c>
      <c r="I253" s="17">
        <v>6331</v>
      </c>
      <c r="J253" s="17">
        <v>573</v>
      </c>
      <c r="K253" s="18">
        <v>3627663</v>
      </c>
    </row>
    <row r="254" spans="1:11" x14ac:dyDescent="0.3">
      <c r="A254" s="17" t="s">
        <v>63</v>
      </c>
      <c r="B254" s="15" t="s">
        <v>310</v>
      </c>
      <c r="C254" s="16" t="s">
        <v>280</v>
      </c>
      <c r="D254" s="17" t="s">
        <v>8</v>
      </c>
      <c r="E254" s="17" t="s">
        <v>9</v>
      </c>
      <c r="F254" s="17" t="s">
        <v>149</v>
      </c>
      <c r="G254" s="17" t="s">
        <v>150</v>
      </c>
      <c r="H254" s="17" t="s">
        <v>11</v>
      </c>
      <c r="I254" s="17">
        <v>5511</v>
      </c>
      <c r="J254" s="17">
        <v>832</v>
      </c>
      <c r="K254" s="18">
        <v>4585152</v>
      </c>
    </row>
    <row r="255" spans="1:11" x14ac:dyDescent="0.3">
      <c r="A255" s="17" t="s">
        <v>63</v>
      </c>
      <c r="B255" s="15" t="s">
        <v>311</v>
      </c>
      <c r="C255" s="16" t="s">
        <v>280</v>
      </c>
      <c r="D255" s="17" t="s">
        <v>8</v>
      </c>
      <c r="E255" s="17" t="s">
        <v>43</v>
      </c>
      <c r="F255" s="17" t="s">
        <v>152</v>
      </c>
      <c r="G255" s="17" t="s">
        <v>153</v>
      </c>
      <c r="H255" s="17" t="s">
        <v>11</v>
      </c>
      <c r="I255" s="17">
        <v>7070</v>
      </c>
      <c r="J255" s="17">
        <v>896</v>
      </c>
      <c r="K255" s="18">
        <v>6334720</v>
      </c>
    </row>
    <row r="256" spans="1:11" x14ac:dyDescent="0.3">
      <c r="A256" s="17" t="s">
        <v>63</v>
      </c>
      <c r="B256" s="15" t="s">
        <v>312</v>
      </c>
      <c r="C256" s="16" t="s">
        <v>280</v>
      </c>
      <c r="D256" s="17" t="s">
        <v>8</v>
      </c>
      <c r="E256" s="17" t="s">
        <v>17</v>
      </c>
      <c r="F256" s="17" t="s">
        <v>155</v>
      </c>
      <c r="G256" s="17" t="s">
        <v>65</v>
      </c>
      <c r="H256" s="17" t="s">
        <v>33</v>
      </c>
      <c r="I256" s="17">
        <v>4761</v>
      </c>
      <c r="J256" s="17">
        <v>819</v>
      </c>
      <c r="K256" s="18">
        <v>3899259</v>
      </c>
    </row>
    <row r="257" spans="1:11" x14ac:dyDescent="0.3">
      <c r="A257" s="17" t="s">
        <v>63</v>
      </c>
      <c r="B257" s="15" t="s">
        <v>313</v>
      </c>
      <c r="C257" s="16" t="s">
        <v>280</v>
      </c>
      <c r="D257" s="17" t="s">
        <v>8</v>
      </c>
      <c r="E257" s="17" t="s">
        <v>17</v>
      </c>
      <c r="F257" s="17" t="s">
        <v>18</v>
      </c>
      <c r="G257" s="17" t="s">
        <v>65</v>
      </c>
      <c r="H257" s="17" t="s">
        <v>33</v>
      </c>
      <c r="I257" s="17">
        <v>8127</v>
      </c>
      <c r="J257" s="17">
        <v>956</v>
      </c>
      <c r="K257" s="18">
        <v>7769412</v>
      </c>
    </row>
    <row r="258" spans="1:11" x14ac:dyDescent="0.3">
      <c r="A258" s="17" t="s">
        <v>63</v>
      </c>
      <c r="B258" s="15" t="s">
        <v>314</v>
      </c>
      <c r="C258" s="16" t="s">
        <v>315</v>
      </c>
      <c r="D258" s="17" t="s">
        <v>8</v>
      </c>
      <c r="E258" s="17" t="s">
        <v>43</v>
      </c>
      <c r="F258" s="17" t="s">
        <v>104</v>
      </c>
      <c r="G258" s="17" t="s">
        <v>74</v>
      </c>
      <c r="H258" s="17" t="s">
        <v>33</v>
      </c>
      <c r="I258" s="17">
        <v>7794</v>
      </c>
      <c r="J258" s="17">
        <v>527</v>
      </c>
      <c r="K258" s="18">
        <v>4107438</v>
      </c>
    </row>
    <row r="259" spans="1:11" x14ac:dyDescent="0.3">
      <c r="A259" s="17" t="s">
        <v>67</v>
      </c>
      <c r="B259" s="15" t="s">
        <v>316</v>
      </c>
      <c r="C259" s="16" t="s">
        <v>315</v>
      </c>
      <c r="D259" s="17" t="s">
        <v>46</v>
      </c>
      <c r="E259" s="17" t="s">
        <v>17</v>
      </c>
      <c r="F259" s="17" t="s">
        <v>106</v>
      </c>
      <c r="G259" s="17" t="s">
        <v>98</v>
      </c>
      <c r="H259" s="17" t="s">
        <v>33</v>
      </c>
      <c r="I259" s="17">
        <v>7427</v>
      </c>
      <c r="J259" s="17">
        <v>604</v>
      </c>
      <c r="K259" s="18">
        <v>4485908</v>
      </c>
    </row>
    <row r="260" spans="1:11" x14ac:dyDescent="0.3">
      <c r="A260" s="17" t="s">
        <v>67</v>
      </c>
      <c r="B260" s="15" t="s">
        <v>317</v>
      </c>
      <c r="C260" s="16" t="s">
        <v>315</v>
      </c>
      <c r="D260" s="17" t="s">
        <v>46</v>
      </c>
      <c r="E260" s="17" t="s">
        <v>17</v>
      </c>
      <c r="F260" s="17" t="s">
        <v>108</v>
      </c>
      <c r="G260" s="17" t="s">
        <v>65</v>
      </c>
      <c r="H260" s="17" t="s">
        <v>33</v>
      </c>
      <c r="I260" s="17">
        <v>1929</v>
      </c>
      <c r="J260" s="17">
        <v>567</v>
      </c>
      <c r="K260" s="18">
        <v>1093743</v>
      </c>
    </row>
    <row r="261" spans="1:11" x14ac:dyDescent="0.3">
      <c r="A261" s="17" t="s">
        <v>67</v>
      </c>
      <c r="B261" s="15" t="s">
        <v>318</v>
      </c>
      <c r="C261" s="16" t="s">
        <v>315</v>
      </c>
      <c r="D261" s="17" t="s">
        <v>46</v>
      </c>
      <c r="E261" s="17" t="s">
        <v>20</v>
      </c>
      <c r="F261" s="17" t="s">
        <v>110</v>
      </c>
      <c r="G261" s="17" t="s">
        <v>68</v>
      </c>
      <c r="H261" s="17" t="s">
        <v>33</v>
      </c>
      <c r="I261" s="17">
        <v>5142</v>
      </c>
      <c r="J261" s="17">
        <v>514</v>
      </c>
      <c r="K261" s="18">
        <v>2642988</v>
      </c>
    </row>
    <row r="262" spans="1:11" x14ac:dyDescent="0.3">
      <c r="A262" s="17" t="s">
        <v>67</v>
      </c>
      <c r="B262" s="15" t="s">
        <v>319</v>
      </c>
      <c r="C262" s="16" t="s">
        <v>315</v>
      </c>
      <c r="D262" s="17" t="s">
        <v>46</v>
      </c>
      <c r="E262" s="17" t="s">
        <v>9</v>
      </c>
      <c r="F262" s="17" t="s">
        <v>10</v>
      </c>
      <c r="G262" s="17" t="s">
        <v>10</v>
      </c>
      <c r="H262" s="17" t="s">
        <v>33</v>
      </c>
      <c r="I262" s="17">
        <v>6102</v>
      </c>
      <c r="J262" s="17">
        <v>990</v>
      </c>
      <c r="K262" s="18">
        <v>6040980</v>
      </c>
    </row>
    <row r="263" spans="1:11" x14ac:dyDescent="0.3">
      <c r="A263" s="17" t="s">
        <v>67</v>
      </c>
      <c r="B263" s="15" t="s">
        <v>320</v>
      </c>
      <c r="C263" s="16" t="s">
        <v>315</v>
      </c>
      <c r="D263" s="17" t="s">
        <v>46</v>
      </c>
      <c r="E263" s="17" t="s">
        <v>14</v>
      </c>
      <c r="F263" s="17" t="s">
        <v>15</v>
      </c>
      <c r="G263" s="17" t="s">
        <v>64</v>
      </c>
      <c r="H263" s="17" t="s">
        <v>33</v>
      </c>
      <c r="I263" s="17">
        <v>8613</v>
      </c>
      <c r="J263" s="17">
        <v>796</v>
      </c>
      <c r="K263" s="18">
        <v>6855948</v>
      </c>
    </row>
    <row r="264" spans="1:11" x14ac:dyDescent="0.3">
      <c r="A264" s="17" t="s">
        <v>67</v>
      </c>
      <c r="B264" s="15" t="s">
        <v>321</v>
      </c>
      <c r="C264" s="16" t="s">
        <v>315</v>
      </c>
      <c r="D264" s="17" t="s">
        <v>46</v>
      </c>
      <c r="E264" s="17" t="s">
        <v>17</v>
      </c>
      <c r="F264" s="17" t="s">
        <v>18</v>
      </c>
      <c r="G264" s="17" t="s">
        <v>65</v>
      </c>
      <c r="H264" s="17" t="s">
        <v>33</v>
      </c>
      <c r="I264" s="17">
        <v>1735</v>
      </c>
      <c r="J264" s="17">
        <v>717</v>
      </c>
      <c r="K264" s="18">
        <v>1243995</v>
      </c>
    </row>
    <row r="265" spans="1:11" x14ac:dyDescent="0.3">
      <c r="A265" s="17" t="s">
        <v>67</v>
      </c>
      <c r="B265" s="15" t="s">
        <v>322</v>
      </c>
      <c r="C265" s="16" t="s">
        <v>315</v>
      </c>
      <c r="D265" s="17" t="s">
        <v>46</v>
      </c>
      <c r="E265" s="17" t="s">
        <v>20</v>
      </c>
      <c r="F265" s="17" t="s">
        <v>21</v>
      </c>
      <c r="G265" s="17" t="s">
        <v>66</v>
      </c>
      <c r="H265" s="17" t="s">
        <v>33</v>
      </c>
      <c r="I265" s="17">
        <v>4013</v>
      </c>
      <c r="J265" s="17">
        <v>818</v>
      </c>
      <c r="K265" s="18">
        <v>3282634</v>
      </c>
    </row>
    <row r="266" spans="1:11" x14ac:dyDescent="0.3">
      <c r="A266" s="17" t="s">
        <v>63</v>
      </c>
      <c r="B266" s="15" t="s">
        <v>323</v>
      </c>
      <c r="C266" s="16" t="s">
        <v>315</v>
      </c>
      <c r="D266" s="17" t="s">
        <v>101</v>
      </c>
      <c r="E266" s="17" t="s">
        <v>20</v>
      </c>
      <c r="F266" s="17" t="s">
        <v>24</v>
      </c>
      <c r="G266" s="17" t="s">
        <v>68</v>
      </c>
      <c r="H266" s="17" t="s">
        <v>11</v>
      </c>
      <c r="I266" s="17">
        <v>1882</v>
      </c>
      <c r="J266" s="17">
        <v>560</v>
      </c>
      <c r="K266" s="18">
        <v>1053920</v>
      </c>
    </row>
    <row r="267" spans="1:11" x14ac:dyDescent="0.3">
      <c r="A267" s="17" t="s">
        <v>63</v>
      </c>
      <c r="B267" s="15" t="s">
        <v>324</v>
      </c>
      <c r="C267" s="16" t="s">
        <v>315</v>
      </c>
      <c r="D267" s="17" t="s">
        <v>101</v>
      </c>
      <c r="E267" s="17" t="s">
        <v>20</v>
      </c>
      <c r="F267" s="17" t="s">
        <v>26</v>
      </c>
      <c r="G267" s="17" t="s">
        <v>69</v>
      </c>
      <c r="H267" s="17" t="s">
        <v>11</v>
      </c>
      <c r="I267" s="17">
        <v>3794</v>
      </c>
      <c r="J267" s="17">
        <v>734</v>
      </c>
      <c r="K267" s="18">
        <v>2784796</v>
      </c>
    </row>
    <row r="268" spans="1:11" x14ac:dyDescent="0.3">
      <c r="A268" s="17" t="s">
        <v>63</v>
      </c>
      <c r="B268" s="15" t="s">
        <v>325</v>
      </c>
      <c r="C268" s="16" t="s">
        <v>315</v>
      </c>
      <c r="D268" s="17" t="s">
        <v>101</v>
      </c>
      <c r="E268" s="17" t="s">
        <v>14</v>
      </c>
      <c r="F268" s="17" t="s">
        <v>28</v>
      </c>
      <c r="G268" s="17" t="s">
        <v>70</v>
      </c>
      <c r="H268" s="17" t="s">
        <v>11</v>
      </c>
      <c r="I268" s="17">
        <v>2105</v>
      </c>
      <c r="J268" s="17">
        <v>981</v>
      </c>
      <c r="K268" s="18">
        <v>2065005</v>
      </c>
    </row>
    <row r="269" spans="1:11" x14ac:dyDescent="0.3">
      <c r="A269" s="17" t="s">
        <v>63</v>
      </c>
      <c r="B269" s="15" t="s">
        <v>326</v>
      </c>
      <c r="C269" s="16" t="s">
        <v>315</v>
      </c>
      <c r="D269" s="17" t="s">
        <v>101</v>
      </c>
      <c r="E269" s="17" t="s">
        <v>14</v>
      </c>
      <c r="F269" s="17" t="s">
        <v>30</v>
      </c>
      <c r="G269" s="17" t="s">
        <v>64</v>
      </c>
      <c r="H269" s="17" t="s">
        <v>11</v>
      </c>
      <c r="I269" s="17">
        <v>7654</v>
      </c>
      <c r="J269" s="17">
        <v>881</v>
      </c>
      <c r="K269" s="18">
        <v>6743174</v>
      </c>
    </row>
    <row r="270" spans="1:11" x14ac:dyDescent="0.3">
      <c r="A270" s="17" t="s">
        <v>63</v>
      </c>
      <c r="B270" s="15" t="s">
        <v>327</v>
      </c>
      <c r="C270" s="16" t="s">
        <v>315</v>
      </c>
      <c r="D270" s="17" t="s">
        <v>101</v>
      </c>
      <c r="E270" s="17" t="s">
        <v>9</v>
      </c>
      <c r="F270" s="17" t="s">
        <v>32</v>
      </c>
      <c r="G270" s="17" t="s">
        <v>93</v>
      </c>
      <c r="H270" s="17" t="s">
        <v>11</v>
      </c>
      <c r="I270" s="17">
        <v>9045</v>
      </c>
      <c r="J270" s="17">
        <v>544</v>
      </c>
      <c r="K270" s="18">
        <v>4920480</v>
      </c>
    </row>
    <row r="271" spans="1:11" x14ac:dyDescent="0.3">
      <c r="A271" s="17" t="s">
        <v>63</v>
      </c>
      <c r="B271" s="15" t="s">
        <v>328</v>
      </c>
      <c r="C271" s="16" t="s">
        <v>315</v>
      </c>
      <c r="D271" s="17" t="s">
        <v>101</v>
      </c>
      <c r="E271" s="17" t="s">
        <v>14</v>
      </c>
      <c r="F271" s="17" t="s">
        <v>35</v>
      </c>
      <c r="G271" s="17" t="s">
        <v>70</v>
      </c>
      <c r="H271" s="17" t="s">
        <v>33</v>
      </c>
      <c r="I271" s="17">
        <v>2088</v>
      </c>
      <c r="J271" s="17">
        <v>678</v>
      </c>
      <c r="K271" s="18">
        <v>1415664</v>
      </c>
    </row>
    <row r="272" spans="1:11" x14ac:dyDescent="0.3">
      <c r="A272" s="17" t="s">
        <v>63</v>
      </c>
      <c r="B272" s="15" t="s">
        <v>329</v>
      </c>
      <c r="C272" s="16" t="s">
        <v>315</v>
      </c>
      <c r="D272" s="17" t="s">
        <v>101</v>
      </c>
      <c r="E272" s="17" t="s">
        <v>9</v>
      </c>
      <c r="F272" s="17" t="s">
        <v>37</v>
      </c>
      <c r="G272" s="17" t="s">
        <v>84</v>
      </c>
      <c r="H272" s="17" t="s">
        <v>33</v>
      </c>
      <c r="I272" s="17">
        <v>3793</v>
      </c>
      <c r="J272" s="17">
        <v>657</v>
      </c>
      <c r="K272" s="18">
        <v>2492001</v>
      </c>
    </row>
    <row r="273" spans="1:11" x14ac:dyDescent="0.3">
      <c r="A273" s="17" t="s">
        <v>63</v>
      </c>
      <c r="B273" s="15" t="s">
        <v>330</v>
      </c>
      <c r="C273" s="16" t="s">
        <v>315</v>
      </c>
      <c r="D273" s="17" t="s">
        <v>101</v>
      </c>
      <c r="E273" s="17" t="s">
        <v>9</v>
      </c>
      <c r="F273" s="17" t="s">
        <v>39</v>
      </c>
      <c r="G273" s="17" t="s">
        <v>84</v>
      </c>
      <c r="H273" s="17" t="s">
        <v>33</v>
      </c>
      <c r="I273" s="17">
        <v>6566</v>
      </c>
      <c r="J273" s="17">
        <v>674</v>
      </c>
      <c r="K273" s="18">
        <v>4425484</v>
      </c>
    </row>
    <row r="274" spans="1:11" x14ac:dyDescent="0.3">
      <c r="A274" s="17" t="s">
        <v>63</v>
      </c>
      <c r="B274" s="15" t="s">
        <v>331</v>
      </c>
      <c r="C274" s="16" t="s">
        <v>315</v>
      </c>
      <c r="D274" s="17" t="s">
        <v>101</v>
      </c>
      <c r="E274" s="17" t="s">
        <v>14</v>
      </c>
      <c r="F274" s="17" t="s">
        <v>41</v>
      </c>
      <c r="G274" s="17" t="s">
        <v>64</v>
      </c>
      <c r="H274" s="17" t="s">
        <v>11</v>
      </c>
      <c r="I274" s="17">
        <v>5152</v>
      </c>
      <c r="J274" s="17">
        <v>760</v>
      </c>
      <c r="K274" s="18">
        <v>3915520</v>
      </c>
    </row>
    <row r="275" spans="1:11" x14ac:dyDescent="0.3">
      <c r="A275" s="17" t="s">
        <v>63</v>
      </c>
      <c r="B275" s="15" t="s">
        <v>332</v>
      </c>
      <c r="C275" s="16" t="s">
        <v>315</v>
      </c>
      <c r="D275" s="17" t="s">
        <v>101</v>
      </c>
      <c r="E275" s="17" t="s">
        <v>43</v>
      </c>
      <c r="F275" s="17" t="s">
        <v>44</v>
      </c>
      <c r="G275" s="17" t="s">
        <v>74</v>
      </c>
      <c r="H275" s="17" t="s">
        <v>11</v>
      </c>
      <c r="I275" s="17">
        <v>2714</v>
      </c>
      <c r="J275" s="17">
        <v>607</v>
      </c>
      <c r="K275" s="18">
        <v>1647398</v>
      </c>
    </row>
    <row r="276" spans="1:11" x14ac:dyDescent="0.3">
      <c r="A276" s="17" t="s">
        <v>63</v>
      </c>
      <c r="B276" s="15" t="s">
        <v>333</v>
      </c>
      <c r="C276" s="16" t="s">
        <v>315</v>
      </c>
      <c r="D276" s="17" t="s">
        <v>101</v>
      </c>
      <c r="E276" s="17" t="s">
        <v>14</v>
      </c>
      <c r="F276" s="17" t="s">
        <v>47</v>
      </c>
      <c r="G276" s="17" t="s">
        <v>64</v>
      </c>
      <c r="H276" s="17" t="s">
        <v>11</v>
      </c>
      <c r="I276" s="17">
        <v>7249</v>
      </c>
      <c r="J276" s="17">
        <v>645</v>
      </c>
      <c r="K276" s="18">
        <v>4675605</v>
      </c>
    </row>
    <row r="277" spans="1:11" x14ac:dyDescent="0.3">
      <c r="A277" s="17" t="s">
        <v>63</v>
      </c>
      <c r="B277" s="15" t="s">
        <v>334</v>
      </c>
      <c r="C277" s="16" t="s">
        <v>315</v>
      </c>
      <c r="D277" s="17" t="s">
        <v>101</v>
      </c>
      <c r="E277" s="17" t="s">
        <v>49</v>
      </c>
      <c r="F277" s="17" t="s">
        <v>50</v>
      </c>
      <c r="G277" s="17" t="s">
        <v>50</v>
      </c>
      <c r="H277" s="17" t="s">
        <v>11</v>
      </c>
      <c r="I277" s="17">
        <v>7924</v>
      </c>
      <c r="J277" s="17">
        <v>855</v>
      </c>
      <c r="K277" s="18">
        <v>6775020</v>
      </c>
    </row>
    <row r="278" spans="1:11" x14ac:dyDescent="0.3">
      <c r="A278" s="17" t="s">
        <v>63</v>
      </c>
      <c r="B278" s="15" t="s">
        <v>335</v>
      </c>
      <c r="C278" s="16" t="s">
        <v>315</v>
      </c>
      <c r="D278" s="17" t="s">
        <v>101</v>
      </c>
      <c r="E278" s="17" t="s">
        <v>43</v>
      </c>
      <c r="F278" s="17" t="s">
        <v>52</v>
      </c>
      <c r="G278" s="17" t="s">
        <v>74</v>
      </c>
      <c r="H278" s="17" t="s">
        <v>11</v>
      </c>
      <c r="I278" s="17">
        <v>6728</v>
      </c>
      <c r="J278" s="17">
        <v>701</v>
      </c>
      <c r="K278" s="18">
        <v>4716328</v>
      </c>
    </row>
    <row r="279" spans="1:11" x14ac:dyDescent="0.3">
      <c r="A279" s="17" t="s">
        <v>63</v>
      </c>
      <c r="B279" s="15" t="s">
        <v>336</v>
      </c>
      <c r="C279" s="16" t="s">
        <v>315</v>
      </c>
      <c r="D279" s="17" t="s">
        <v>101</v>
      </c>
      <c r="E279" s="17" t="s">
        <v>20</v>
      </c>
      <c r="F279" s="17" t="s">
        <v>54</v>
      </c>
      <c r="G279" s="17" t="s">
        <v>76</v>
      </c>
      <c r="H279" s="17" t="s">
        <v>33</v>
      </c>
      <c r="I279" s="17">
        <v>6384</v>
      </c>
      <c r="J279" s="17">
        <v>575</v>
      </c>
      <c r="K279" s="18">
        <v>3670800</v>
      </c>
    </row>
    <row r="280" spans="1:11" x14ac:dyDescent="0.3">
      <c r="A280" s="17" t="s">
        <v>63</v>
      </c>
      <c r="B280" s="15" t="s">
        <v>337</v>
      </c>
      <c r="C280" s="16" t="s">
        <v>315</v>
      </c>
      <c r="D280" s="17" t="s">
        <v>101</v>
      </c>
      <c r="E280" s="17" t="s">
        <v>17</v>
      </c>
      <c r="F280" s="17" t="s">
        <v>56</v>
      </c>
      <c r="G280" s="17" t="s">
        <v>78</v>
      </c>
      <c r="H280" s="17" t="s">
        <v>33</v>
      </c>
      <c r="I280" s="17">
        <v>3372</v>
      </c>
      <c r="J280" s="17">
        <v>533</v>
      </c>
      <c r="K280" s="18">
        <v>1797276</v>
      </c>
    </row>
    <row r="281" spans="1:11" x14ac:dyDescent="0.3">
      <c r="A281" s="17" t="s">
        <v>63</v>
      </c>
      <c r="B281" s="15" t="s">
        <v>338</v>
      </c>
      <c r="C281" s="16" t="s">
        <v>315</v>
      </c>
      <c r="D281" s="17" t="s">
        <v>103</v>
      </c>
      <c r="E281" s="17" t="s">
        <v>14</v>
      </c>
      <c r="F281" s="17" t="s">
        <v>80</v>
      </c>
      <c r="G281" s="17" t="s">
        <v>70</v>
      </c>
      <c r="H281" s="17" t="s">
        <v>33</v>
      </c>
      <c r="I281" s="17">
        <v>1817</v>
      </c>
      <c r="J281" s="17">
        <v>615</v>
      </c>
      <c r="K281" s="18">
        <v>1117455</v>
      </c>
    </row>
    <row r="282" spans="1:11" x14ac:dyDescent="0.3">
      <c r="A282" s="17" t="s">
        <v>63</v>
      </c>
      <c r="B282" s="15" t="s">
        <v>339</v>
      </c>
      <c r="C282" s="16" t="s">
        <v>315</v>
      </c>
      <c r="D282" s="17" t="s">
        <v>103</v>
      </c>
      <c r="E282" s="17" t="s">
        <v>9</v>
      </c>
      <c r="F282" s="17" t="s">
        <v>83</v>
      </c>
      <c r="G282" s="17" t="s">
        <v>84</v>
      </c>
      <c r="H282" s="17" t="s">
        <v>33</v>
      </c>
      <c r="I282" s="17">
        <v>3910</v>
      </c>
      <c r="J282" s="17">
        <v>521</v>
      </c>
      <c r="K282" s="18">
        <v>2037110</v>
      </c>
    </row>
    <row r="283" spans="1:11" x14ac:dyDescent="0.3">
      <c r="A283" s="17" t="s">
        <v>63</v>
      </c>
      <c r="B283" s="15" t="s">
        <v>340</v>
      </c>
      <c r="C283" s="16" t="s">
        <v>315</v>
      </c>
      <c r="D283" s="17" t="s">
        <v>103</v>
      </c>
      <c r="E283" s="17" t="s">
        <v>9</v>
      </c>
      <c r="F283" s="17" t="s">
        <v>86</v>
      </c>
      <c r="G283" s="17" t="s">
        <v>84</v>
      </c>
      <c r="H283" s="17" t="s">
        <v>33</v>
      </c>
      <c r="I283" s="17">
        <v>9238</v>
      </c>
      <c r="J283" s="17">
        <v>630</v>
      </c>
      <c r="K283" s="18">
        <v>5819940</v>
      </c>
    </row>
    <row r="284" spans="1:11" x14ac:dyDescent="0.3">
      <c r="A284" s="17" t="s">
        <v>63</v>
      </c>
      <c r="B284" s="15" t="s">
        <v>341</v>
      </c>
      <c r="C284" s="16" t="s">
        <v>315</v>
      </c>
      <c r="D284" s="17" t="s">
        <v>103</v>
      </c>
      <c r="E284" s="17" t="s">
        <v>20</v>
      </c>
      <c r="F284" s="17" t="s">
        <v>88</v>
      </c>
      <c r="G284" s="17" t="s">
        <v>66</v>
      </c>
      <c r="H284" s="17" t="s">
        <v>33</v>
      </c>
      <c r="I284" s="17">
        <v>8891</v>
      </c>
      <c r="J284" s="17">
        <v>500</v>
      </c>
      <c r="K284" s="18">
        <v>4445500</v>
      </c>
    </row>
    <row r="285" spans="1:11" x14ac:dyDescent="0.3">
      <c r="A285" s="17" t="s">
        <v>63</v>
      </c>
      <c r="B285" s="15" t="s">
        <v>342</v>
      </c>
      <c r="C285" s="16" t="s">
        <v>315</v>
      </c>
      <c r="D285" s="17" t="s">
        <v>103</v>
      </c>
      <c r="E285" s="17" t="s">
        <v>20</v>
      </c>
      <c r="F285" s="17" t="s">
        <v>90</v>
      </c>
      <c r="G285" s="17" t="s">
        <v>66</v>
      </c>
      <c r="H285" s="17" t="s">
        <v>33</v>
      </c>
      <c r="I285" s="17">
        <v>5367</v>
      </c>
      <c r="J285" s="17">
        <v>606</v>
      </c>
      <c r="K285" s="18">
        <v>3252402</v>
      </c>
    </row>
    <row r="286" spans="1:11" x14ac:dyDescent="0.3">
      <c r="A286" s="17" t="s">
        <v>63</v>
      </c>
      <c r="B286" s="15" t="s">
        <v>343</v>
      </c>
      <c r="C286" s="16" t="s">
        <v>315</v>
      </c>
      <c r="D286" s="17" t="s">
        <v>103</v>
      </c>
      <c r="E286" s="17" t="s">
        <v>9</v>
      </c>
      <c r="F286" s="17" t="s">
        <v>92</v>
      </c>
      <c r="G286" s="17" t="s">
        <v>93</v>
      </c>
      <c r="H286" s="17" t="s">
        <v>11</v>
      </c>
      <c r="I286" s="17">
        <v>5733</v>
      </c>
      <c r="J286" s="17">
        <v>582</v>
      </c>
      <c r="K286" s="18">
        <v>3336606</v>
      </c>
    </row>
    <row r="287" spans="1:11" x14ac:dyDescent="0.3">
      <c r="A287" s="17" t="s">
        <v>63</v>
      </c>
      <c r="B287" s="15" t="s">
        <v>344</v>
      </c>
      <c r="C287" s="16" t="s">
        <v>315</v>
      </c>
      <c r="D287" s="17" t="s">
        <v>103</v>
      </c>
      <c r="E287" s="17" t="s">
        <v>9</v>
      </c>
      <c r="F287" s="17" t="s">
        <v>95</v>
      </c>
      <c r="G287" s="17" t="s">
        <v>84</v>
      </c>
      <c r="H287" s="17" t="s">
        <v>11</v>
      </c>
      <c r="I287" s="17">
        <v>6120</v>
      </c>
      <c r="J287" s="17">
        <v>647</v>
      </c>
      <c r="K287" s="18">
        <v>3959640</v>
      </c>
    </row>
    <row r="288" spans="1:11" x14ac:dyDescent="0.3">
      <c r="A288" s="17" t="s">
        <v>63</v>
      </c>
      <c r="B288" s="15" t="s">
        <v>345</v>
      </c>
      <c r="C288" s="16" t="s">
        <v>315</v>
      </c>
      <c r="D288" s="17" t="s">
        <v>103</v>
      </c>
      <c r="E288" s="17" t="s">
        <v>17</v>
      </c>
      <c r="F288" s="17" t="s">
        <v>97</v>
      </c>
      <c r="G288" s="17" t="s">
        <v>98</v>
      </c>
      <c r="H288" s="17" t="s">
        <v>11</v>
      </c>
      <c r="I288" s="17">
        <v>4560</v>
      </c>
      <c r="J288" s="17">
        <v>779</v>
      </c>
      <c r="K288" s="18">
        <v>3552240</v>
      </c>
    </row>
    <row r="289" spans="1:11" x14ac:dyDescent="0.3">
      <c r="A289" s="17" t="s">
        <v>63</v>
      </c>
      <c r="B289" s="15" t="s">
        <v>346</v>
      </c>
      <c r="C289" s="16" t="s">
        <v>315</v>
      </c>
      <c r="D289" s="17" t="s">
        <v>103</v>
      </c>
      <c r="E289" s="17" t="s">
        <v>20</v>
      </c>
      <c r="F289" s="17" t="s">
        <v>134</v>
      </c>
      <c r="G289" s="17" t="s">
        <v>135</v>
      </c>
      <c r="H289" s="17" t="s">
        <v>11</v>
      </c>
      <c r="I289" s="17">
        <v>7880</v>
      </c>
      <c r="J289" s="17">
        <v>814</v>
      </c>
      <c r="K289" s="18">
        <v>6414320</v>
      </c>
    </row>
    <row r="290" spans="1:11" x14ac:dyDescent="0.3">
      <c r="A290" s="17" t="s">
        <v>63</v>
      </c>
      <c r="B290" s="15" t="s">
        <v>347</v>
      </c>
      <c r="C290" s="16" t="s">
        <v>315</v>
      </c>
      <c r="D290" s="17" t="s">
        <v>103</v>
      </c>
      <c r="E290" s="17" t="s">
        <v>14</v>
      </c>
      <c r="F290" s="17" t="s">
        <v>137</v>
      </c>
      <c r="G290" s="17" t="s">
        <v>64</v>
      </c>
      <c r="H290" s="17" t="s">
        <v>33</v>
      </c>
      <c r="I290" s="17">
        <v>4940</v>
      </c>
      <c r="J290" s="17">
        <v>517</v>
      </c>
      <c r="K290" s="18">
        <v>2553980</v>
      </c>
    </row>
    <row r="291" spans="1:11" x14ac:dyDescent="0.3">
      <c r="A291" s="17" t="s">
        <v>63</v>
      </c>
      <c r="B291" s="15" t="s">
        <v>348</v>
      </c>
      <c r="C291" s="16" t="s">
        <v>315</v>
      </c>
      <c r="D291" s="17" t="s">
        <v>103</v>
      </c>
      <c r="E291" s="17" t="s">
        <v>9</v>
      </c>
      <c r="F291" s="17" t="s">
        <v>139</v>
      </c>
      <c r="G291" s="17" t="s">
        <v>140</v>
      </c>
      <c r="H291" s="17" t="s">
        <v>11</v>
      </c>
      <c r="I291" s="17">
        <v>4721</v>
      </c>
      <c r="J291" s="17">
        <v>620</v>
      </c>
      <c r="K291" s="18">
        <v>2927020</v>
      </c>
    </row>
    <row r="292" spans="1:11" x14ac:dyDescent="0.3">
      <c r="A292" s="17" t="s">
        <v>63</v>
      </c>
      <c r="B292" s="15" t="s">
        <v>349</v>
      </c>
      <c r="C292" s="16" t="s">
        <v>315</v>
      </c>
      <c r="D292" s="17" t="s">
        <v>103</v>
      </c>
      <c r="E292" s="17" t="s">
        <v>9</v>
      </c>
      <c r="F292" s="17" t="s">
        <v>142</v>
      </c>
      <c r="G292" s="17" t="s">
        <v>143</v>
      </c>
      <c r="H292" s="17" t="s">
        <v>11</v>
      </c>
      <c r="I292" s="17">
        <v>2837</v>
      </c>
      <c r="J292" s="17">
        <v>831</v>
      </c>
      <c r="K292" s="18">
        <v>2357547</v>
      </c>
    </row>
    <row r="293" spans="1:11" x14ac:dyDescent="0.3">
      <c r="A293" s="17" t="s">
        <v>67</v>
      </c>
      <c r="B293" s="15" t="s">
        <v>204</v>
      </c>
      <c r="C293" s="16" t="s">
        <v>315</v>
      </c>
      <c r="D293" s="17" t="s">
        <v>72</v>
      </c>
      <c r="E293" s="17" t="s">
        <v>145</v>
      </c>
      <c r="F293" s="17" t="s">
        <v>146</v>
      </c>
      <c r="G293" s="17" t="s">
        <v>147</v>
      </c>
      <c r="H293" s="17" t="s">
        <v>11</v>
      </c>
      <c r="I293" s="17">
        <v>2085</v>
      </c>
      <c r="J293" s="17">
        <v>595</v>
      </c>
      <c r="K293" s="18">
        <v>1240575</v>
      </c>
    </row>
    <row r="294" spans="1:11" x14ac:dyDescent="0.3">
      <c r="A294" s="17" t="s">
        <v>67</v>
      </c>
      <c r="B294" s="15" t="s">
        <v>350</v>
      </c>
      <c r="C294" s="16" t="s">
        <v>315</v>
      </c>
      <c r="D294" s="17" t="s">
        <v>72</v>
      </c>
      <c r="E294" s="17" t="s">
        <v>9</v>
      </c>
      <c r="F294" s="17" t="s">
        <v>149</v>
      </c>
      <c r="G294" s="17" t="s">
        <v>150</v>
      </c>
      <c r="H294" s="17" t="s">
        <v>11</v>
      </c>
      <c r="I294" s="17">
        <v>2616</v>
      </c>
      <c r="J294" s="17">
        <v>652</v>
      </c>
      <c r="K294" s="18">
        <v>1705632</v>
      </c>
    </row>
    <row r="295" spans="1:11" x14ac:dyDescent="0.3">
      <c r="A295" s="17" t="s">
        <v>67</v>
      </c>
      <c r="B295" s="15" t="s">
        <v>351</v>
      </c>
      <c r="C295" s="16" t="s">
        <v>315</v>
      </c>
      <c r="D295" s="17" t="s">
        <v>72</v>
      </c>
      <c r="E295" s="17" t="s">
        <v>43</v>
      </c>
      <c r="F295" s="17" t="s">
        <v>152</v>
      </c>
      <c r="G295" s="17" t="s">
        <v>153</v>
      </c>
      <c r="H295" s="17" t="s">
        <v>33</v>
      </c>
      <c r="I295" s="17">
        <v>6023</v>
      </c>
      <c r="J295" s="17">
        <v>707</v>
      </c>
      <c r="K295" s="18">
        <v>4258261</v>
      </c>
    </row>
    <row r="296" spans="1:11" x14ac:dyDescent="0.3">
      <c r="A296" s="17" t="s">
        <v>67</v>
      </c>
      <c r="B296" s="15" t="s">
        <v>352</v>
      </c>
      <c r="C296" s="16" t="s">
        <v>315</v>
      </c>
      <c r="D296" s="17" t="s">
        <v>72</v>
      </c>
      <c r="E296" s="17" t="s">
        <v>17</v>
      </c>
      <c r="F296" s="17" t="s">
        <v>155</v>
      </c>
      <c r="G296" s="17" t="s">
        <v>65</v>
      </c>
      <c r="H296" s="17" t="s">
        <v>33</v>
      </c>
      <c r="I296" s="17">
        <v>6681</v>
      </c>
      <c r="J296" s="17">
        <v>886</v>
      </c>
      <c r="K296" s="18">
        <v>5919366</v>
      </c>
    </row>
    <row r="297" spans="1:11" x14ac:dyDescent="0.3">
      <c r="A297" s="17" t="s">
        <v>67</v>
      </c>
      <c r="B297" s="15" t="s">
        <v>353</v>
      </c>
      <c r="C297" s="16" t="s">
        <v>315</v>
      </c>
      <c r="D297" s="17" t="s">
        <v>72</v>
      </c>
      <c r="E297" s="17" t="s">
        <v>14</v>
      </c>
      <c r="F297" s="17" t="s">
        <v>80</v>
      </c>
      <c r="G297" s="17" t="s">
        <v>70</v>
      </c>
      <c r="H297" s="17" t="s">
        <v>33</v>
      </c>
      <c r="I297" s="17">
        <v>8243</v>
      </c>
      <c r="J297" s="17">
        <v>630</v>
      </c>
      <c r="K297" s="18">
        <v>5193090</v>
      </c>
    </row>
    <row r="298" spans="1:11" x14ac:dyDescent="0.3">
      <c r="A298" s="17" t="s">
        <v>67</v>
      </c>
      <c r="B298" s="15" t="s">
        <v>354</v>
      </c>
      <c r="C298" s="16" t="s">
        <v>315</v>
      </c>
      <c r="D298" s="17" t="s">
        <v>72</v>
      </c>
      <c r="E298" s="17" t="s">
        <v>9</v>
      </c>
      <c r="F298" s="17" t="s">
        <v>83</v>
      </c>
      <c r="G298" s="17" t="s">
        <v>84</v>
      </c>
      <c r="H298" s="17" t="s">
        <v>33</v>
      </c>
      <c r="I298" s="17">
        <v>9739</v>
      </c>
      <c r="J298" s="17">
        <v>947</v>
      </c>
      <c r="K298" s="18">
        <v>9222833</v>
      </c>
    </row>
    <row r="299" spans="1:11" x14ac:dyDescent="0.3">
      <c r="A299" s="17" t="s">
        <v>67</v>
      </c>
      <c r="B299" s="15" t="s">
        <v>355</v>
      </c>
      <c r="C299" s="16" t="s">
        <v>315</v>
      </c>
      <c r="D299" s="17" t="s">
        <v>72</v>
      </c>
      <c r="E299" s="17" t="s">
        <v>9</v>
      </c>
      <c r="F299" s="17" t="s">
        <v>86</v>
      </c>
      <c r="G299" s="17" t="s">
        <v>84</v>
      </c>
      <c r="H299" s="17" t="s">
        <v>33</v>
      </c>
      <c r="I299" s="17">
        <v>1974</v>
      </c>
      <c r="J299" s="17">
        <v>575</v>
      </c>
      <c r="K299" s="18">
        <v>1135050</v>
      </c>
    </row>
    <row r="300" spans="1:11" x14ac:dyDescent="0.3">
      <c r="A300" s="17" t="s">
        <v>67</v>
      </c>
      <c r="B300" s="15" t="s">
        <v>356</v>
      </c>
      <c r="C300" s="16" t="s">
        <v>315</v>
      </c>
      <c r="D300" s="17" t="s">
        <v>72</v>
      </c>
      <c r="E300" s="17" t="s">
        <v>20</v>
      </c>
      <c r="F300" s="17" t="s">
        <v>88</v>
      </c>
      <c r="G300" s="17" t="s">
        <v>66</v>
      </c>
      <c r="H300" s="17" t="s">
        <v>33</v>
      </c>
      <c r="I300" s="17">
        <v>7991</v>
      </c>
      <c r="J300" s="17">
        <v>910</v>
      </c>
      <c r="K300" s="18">
        <v>7271810</v>
      </c>
    </row>
    <row r="301" spans="1:11" x14ac:dyDescent="0.3">
      <c r="A301" s="17" t="s">
        <v>67</v>
      </c>
      <c r="B301" s="15" t="s">
        <v>357</v>
      </c>
      <c r="C301" s="16" t="s">
        <v>358</v>
      </c>
      <c r="D301" s="17" t="s">
        <v>72</v>
      </c>
      <c r="E301" s="17" t="s">
        <v>20</v>
      </c>
      <c r="F301" s="17" t="s">
        <v>90</v>
      </c>
      <c r="G301" s="17" t="s">
        <v>66</v>
      </c>
      <c r="H301" s="17" t="s">
        <v>33</v>
      </c>
      <c r="I301" s="17">
        <v>1888</v>
      </c>
      <c r="J301" s="17">
        <v>682</v>
      </c>
      <c r="K301" s="18">
        <v>1287616</v>
      </c>
    </row>
    <row r="302" spans="1:11" x14ac:dyDescent="0.3">
      <c r="A302" s="17" t="s">
        <v>67</v>
      </c>
      <c r="B302" s="15" t="s">
        <v>359</v>
      </c>
      <c r="C302" s="16" t="s">
        <v>358</v>
      </c>
      <c r="D302" s="17" t="s">
        <v>72</v>
      </c>
      <c r="E302" s="17" t="s">
        <v>9</v>
      </c>
      <c r="F302" s="17" t="s">
        <v>92</v>
      </c>
      <c r="G302" s="17" t="s">
        <v>93</v>
      </c>
      <c r="H302" s="17" t="s">
        <v>33</v>
      </c>
      <c r="I302" s="17">
        <v>3251</v>
      </c>
      <c r="J302" s="17">
        <v>720</v>
      </c>
      <c r="K302" s="18">
        <v>2340720</v>
      </c>
    </row>
    <row r="303" spans="1:11" x14ac:dyDescent="0.3">
      <c r="A303" s="17" t="s">
        <v>67</v>
      </c>
      <c r="B303" s="15" t="s">
        <v>360</v>
      </c>
      <c r="C303" s="16" t="s">
        <v>358</v>
      </c>
      <c r="D303" s="17" t="s">
        <v>72</v>
      </c>
      <c r="E303" s="17" t="s">
        <v>9</v>
      </c>
      <c r="F303" s="17" t="s">
        <v>95</v>
      </c>
      <c r="G303" s="17" t="s">
        <v>84</v>
      </c>
      <c r="H303" s="17" t="s">
        <v>33</v>
      </c>
      <c r="I303" s="17">
        <v>7341</v>
      </c>
      <c r="J303" s="17">
        <v>848</v>
      </c>
      <c r="K303" s="18">
        <v>6225168</v>
      </c>
    </row>
    <row r="304" spans="1:11" x14ac:dyDescent="0.3">
      <c r="A304" s="17" t="s">
        <v>67</v>
      </c>
      <c r="B304" s="15" t="s">
        <v>361</v>
      </c>
      <c r="C304" s="16" t="s">
        <v>358</v>
      </c>
      <c r="D304" s="17" t="s">
        <v>72</v>
      </c>
      <c r="E304" s="17" t="s">
        <v>17</v>
      </c>
      <c r="F304" s="17" t="s">
        <v>97</v>
      </c>
      <c r="G304" s="17" t="s">
        <v>98</v>
      </c>
      <c r="H304" s="17" t="s">
        <v>33</v>
      </c>
      <c r="I304" s="17">
        <v>7168</v>
      </c>
      <c r="J304" s="17">
        <v>642</v>
      </c>
      <c r="K304" s="18">
        <v>4601856</v>
      </c>
    </row>
    <row r="305" spans="1:11" x14ac:dyDescent="0.3">
      <c r="A305" s="17" t="s">
        <v>67</v>
      </c>
      <c r="B305" s="15" t="s">
        <v>362</v>
      </c>
      <c r="C305" s="16" t="s">
        <v>358</v>
      </c>
      <c r="D305" s="17" t="s">
        <v>82</v>
      </c>
      <c r="E305" s="17" t="s">
        <v>20</v>
      </c>
      <c r="F305" s="17" t="s">
        <v>134</v>
      </c>
      <c r="G305" s="17" t="s">
        <v>135</v>
      </c>
      <c r="H305" s="17" t="s">
        <v>33</v>
      </c>
      <c r="I305" s="17">
        <v>8503</v>
      </c>
      <c r="J305" s="17">
        <v>591</v>
      </c>
      <c r="K305" s="18">
        <v>5025273</v>
      </c>
    </row>
    <row r="306" spans="1:11" x14ac:dyDescent="0.3">
      <c r="A306" s="17" t="s">
        <v>67</v>
      </c>
      <c r="B306" s="15" t="s">
        <v>363</v>
      </c>
      <c r="C306" s="16" t="s">
        <v>358</v>
      </c>
      <c r="D306" s="17" t="s">
        <v>82</v>
      </c>
      <c r="E306" s="17" t="s">
        <v>14</v>
      </c>
      <c r="F306" s="17" t="s">
        <v>137</v>
      </c>
      <c r="G306" s="17" t="s">
        <v>64</v>
      </c>
      <c r="H306" s="17" t="s">
        <v>33</v>
      </c>
      <c r="I306" s="17">
        <v>3099</v>
      </c>
      <c r="J306" s="17">
        <v>601</v>
      </c>
      <c r="K306" s="18">
        <v>1862499</v>
      </c>
    </row>
    <row r="307" spans="1:11" x14ac:dyDescent="0.3">
      <c r="A307" s="17" t="s">
        <v>67</v>
      </c>
      <c r="B307" s="15" t="s">
        <v>364</v>
      </c>
      <c r="C307" s="16" t="s">
        <v>358</v>
      </c>
      <c r="D307" s="17" t="s">
        <v>82</v>
      </c>
      <c r="E307" s="17" t="s">
        <v>9</v>
      </c>
      <c r="F307" s="17" t="s">
        <v>139</v>
      </c>
      <c r="G307" s="17" t="s">
        <v>140</v>
      </c>
      <c r="H307" s="17" t="s">
        <v>33</v>
      </c>
      <c r="I307" s="17">
        <v>2916</v>
      </c>
      <c r="J307" s="17">
        <v>767</v>
      </c>
      <c r="K307" s="18">
        <v>2236572</v>
      </c>
    </row>
    <row r="308" spans="1:11" x14ac:dyDescent="0.3">
      <c r="A308" s="17" t="s">
        <v>67</v>
      </c>
      <c r="B308" s="15" t="s">
        <v>365</v>
      </c>
      <c r="C308" s="16" t="s">
        <v>358</v>
      </c>
      <c r="D308" s="17" t="s">
        <v>82</v>
      </c>
      <c r="E308" s="17" t="s">
        <v>9</v>
      </c>
      <c r="F308" s="17" t="s">
        <v>142</v>
      </c>
      <c r="G308" s="17" t="s">
        <v>143</v>
      </c>
      <c r="H308" s="17" t="s">
        <v>33</v>
      </c>
      <c r="I308" s="17">
        <v>5674</v>
      </c>
      <c r="J308" s="17">
        <v>975</v>
      </c>
      <c r="K308" s="18">
        <v>5532150</v>
      </c>
    </row>
    <row r="309" spans="1:11" x14ac:dyDescent="0.3">
      <c r="A309" s="17" t="s">
        <v>67</v>
      </c>
      <c r="B309" s="15" t="s">
        <v>366</v>
      </c>
      <c r="C309" s="16" t="s">
        <v>358</v>
      </c>
      <c r="D309" s="17" t="s">
        <v>82</v>
      </c>
      <c r="E309" s="17" t="s">
        <v>145</v>
      </c>
      <c r="F309" s="17" t="s">
        <v>146</v>
      </c>
      <c r="G309" s="17" t="s">
        <v>147</v>
      </c>
      <c r="H309" s="17" t="s">
        <v>33</v>
      </c>
      <c r="I309" s="17">
        <v>4048</v>
      </c>
      <c r="J309" s="17">
        <v>713</v>
      </c>
      <c r="K309" s="18">
        <v>2886224</v>
      </c>
    </row>
    <row r="310" spans="1:11" x14ac:dyDescent="0.3">
      <c r="A310" s="17" t="s">
        <v>67</v>
      </c>
      <c r="B310" s="15" t="s">
        <v>367</v>
      </c>
      <c r="C310" s="16" t="s">
        <v>358</v>
      </c>
      <c r="D310" s="17" t="s">
        <v>82</v>
      </c>
      <c r="E310" s="17" t="s">
        <v>9</v>
      </c>
      <c r="F310" s="17" t="s">
        <v>149</v>
      </c>
      <c r="G310" s="17" t="s">
        <v>150</v>
      </c>
      <c r="H310" s="17" t="s">
        <v>11</v>
      </c>
      <c r="I310" s="17">
        <v>1663</v>
      </c>
      <c r="J310" s="17">
        <v>659</v>
      </c>
      <c r="K310" s="18">
        <v>1095917</v>
      </c>
    </row>
    <row r="311" spans="1:11" x14ac:dyDescent="0.3">
      <c r="A311" s="17" t="s">
        <v>67</v>
      </c>
      <c r="B311" s="15" t="s">
        <v>368</v>
      </c>
      <c r="C311" s="16" t="s">
        <v>358</v>
      </c>
      <c r="D311" s="17" t="s">
        <v>82</v>
      </c>
      <c r="E311" s="17" t="s">
        <v>43</v>
      </c>
      <c r="F311" s="17" t="s">
        <v>152</v>
      </c>
      <c r="G311" s="17" t="s">
        <v>153</v>
      </c>
      <c r="H311" s="17" t="s">
        <v>11</v>
      </c>
      <c r="I311" s="17">
        <v>9541</v>
      </c>
      <c r="J311" s="17">
        <v>984</v>
      </c>
      <c r="K311" s="18">
        <v>9388344</v>
      </c>
    </row>
    <row r="312" spans="1:11" x14ac:dyDescent="0.3">
      <c r="A312" s="17" t="s">
        <v>67</v>
      </c>
      <c r="B312" s="15" t="s">
        <v>369</v>
      </c>
      <c r="C312" s="16" t="s">
        <v>358</v>
      </c>
      <c r="D312" s="17" t="s">
        <v>82</v>
      </c>
      <c r="E312" s="17" t="s">
        <v>17</v>
      </c>
      <c r="F312" s="17" t="s">
        <v>155</v>
      </c>
      <c r="G312" s="17" t="s">
        <v>65</v>
      </c>
      <c r="H312" s="17" t="s">
        <v>11</v>
      </c>
      <c r="I312" s="17">
        <v>3649</v>
      </c>
      <c r="J312" s="17">
        <v>503</v>
      </c>
      <c r="K312" s="18">
        <v>1835447</v>
      </c>
    </row>
    <row r="313" spans="1:11" x14ac:dyDescent="0.3">
      <c r="A313" s="17" t="s">
        <v>67</v>
      </c>
      <c r="B313" s="15" t="s">
        <v>370</v>
      </c>
      <c r="C313" s="16" t="s">
        <v>358</v>
      </c>
      <c r="D313" s="17" t="s">
        <v>82</v>
      </c>
      <c r="E313" s="17" t="s">
        <v>17</v>
      </c>
      <c r="F313" s="17" t="s">
        <v>18</v>
      </c>
      <c r="G313" s="17" t="s">
        <v>65</v>
      </c>
      <c r="H313" s="17" t="s">
        <v>11</v>
      </c>
      <c r="I313" s="17">
        <v>1737</v>
      </c>
      <c r="J313" s="17">
        <v>571</v>
      </c>
      <c r="K313" s="18">
        <v>991827</v>
      </c>
    </row>
    <row r="314" spans="1:11" x14ac:dyDescent="0.3">
      <c r="A314" s="17" t="s">
        <v>67</v>
      </c>
      <c r="B314" s="15" t="s">
        <v>371</v>
      </c>
      <c r="C314" s="16" t="s">
        <v>358</v>
      </c>
      <c r="D314" s="17" t="s">
        <v>82</v>
      </c>
      <c r="E314" s="17" t="s">
        <v>43</v>
      </c>
      <c r="F314" s="17" t="s">
        <v>104</v>
      </c>
      <c r="G314" s="17" t="s">
        <v>74</v>
      </c>
      <c r="H314" s="17" t="s">
        <v>11</v>
      </c>
      <c r="I314" s="17">
        <v>7995</v>
      </c>
      <c r="J314" s="17">
        <v>910</v>
      </c>
      <c r="K314" s="18">
        <v>7275450</v>
      </c>
    </row>
    <row r="315" spans="1:11" x14ac:dyDescent="0.3">
      <c r="A315" s="17" t="s">
        <v>67</v>
      </c>
      <c r="B315" s="15" t="s">
        <v>372</v>
      </c>
      <c r="C315" s="16" t="s">
        <v>358</v>
      </c>
      <c r="D315" s="17" t="s">
        <v>82</v>
      </c>
      <c r="E315" s="17" t="s">
        <v>17</v>
      </c>
      <c r="F315" s="17" t="s">
        <v>106</v>
      </c>
      <c r="G315" s="17" t="s">
        <v>98</v>
      </c>
      <c r="H315" s="17" t="s">
        <v>33</v>
      </c>
      <c r="I315" s="17">
        <v>5228</v>
      </c>
      <c r="J315" s="17">
        <v>781</v>
      </c>
      <c r="K315" s="18">
        <v>4083068</v>
      </c>
    </row>
    <row r="316" spans="1:11" x14ac:dyDescent="0.3">
      <c r="A316" s="17" t="s">
        <v>161</v>
      </c>
      <c r="B316" s="15" t="s">
        <v>373</v>
      </c>
      <c r="C316" s="16" t="s">
        <v>358</v>
      </c>
      <c r="D316" s="17" t="s">
        <v>162</v>
      </c>
      <c r="E316" s="17" t="s">
        <v>17</v>
      </c>
      <c r="F316" s="17" t="s">
        <v>108</v>
      </c>
      <c r="G316" s="17" t="s">
        <v>65</v>
      </c>
      <c r="H316" s="17" t="s">
        <v>33</v>
      </c>
      <c r="I316" s="17">
        <v>7710</v>
      </c>
      <c r="J316" s="17">
        <v>954</v>
      </c>
      <c r="K316" s="18">
        <v>7355340</v>
      </c>
    </row>
    <row r="317" spans="1:11" x14ac:dyDescent="0.3">
      <c r="A317" s="17" t="s">
        <v>161</v>
      </c>
      <c r="B317" s="15" t="s">
        <v>374</v>
      </c>
      <c r="C317" s="16" t="s">
        <v>358</v>
      </c>
      <c r="D317" s="17" t="s">
        <v>162</v>
      </c>
      <c r="E317" s="17" t="s">
        <v>20</v>
      </c>
      <c r="F317" s="17" t="s">
        <v>110</v>
      </c>
      <c r="G317" s="17" t="s">
        <v>68</v>
      </c>
      <c r="H317" s="17" t="s">
        <v>33</v>
      </c>
      <c r="I317" s="17">
        <v>3333</v>
      </c>
      <c r="J317" s="17">
        <v>945</v>
      </c>
      <c r="K317" s="18">
        <v>3149685</v>
      </c>
    </row>
    <row r="318" spans="1:11" x14ac:dyDescent="0.3">
      <c r="A318" s="17" t="s">
        <v>161</v>
      </c>
      <c r="B318" s="15" t="s">
        <v>375</v>
      </c>
      <c r="C318" s="16" t="s">
        <v>358</v>
      </c>
      <c r="D318" s="17" t="s">
        <v>162</v>
      </c>
      <c r="E318" s="17" t="s">
        <v>9</v>
      </c>
      <c r="F318" s="17" t="s">
        <v>10</v>
      </c>
      <c r="G318" s="17" t="s">
        <v>10</v>
      </c>
      <c r="H318" s="17" t="s">
        <v>33</v>
      </c>
      <c r="I318" s="17">
        <v>9277</v>
      </c>
      <c r="J318" s="17">
        <v>839</v>
      </c>
      <c r="K318" s="18">
        <v>7783403</v>
      </c>
    </row>
    <row r="319" spans="1:11" x14ac:dyDescent="0.3">
      <c r="A319" s="17" t="s">
        <v>161</v>
      </c>
      <c r="B319" s="15" t="s">
        <v>376</v>
      </c>
      <c r="C319" s="16" t="s">
        <v>358</v>
      </c>
      <c r="D319" s="17" t="s">
        <v>162</v>
      </c>
      <c r="E319" s="17" t="s">
        <v>14</v>
      </c>
      <c r="F319" s="17" t="s">
        <v>15</v>
      </c>
      <c r="G319" s="17" t="s">
        <v>64</v>
      </c>
      <c r="H319" s="17" t="s">
        <v>33</v>
      </c>
      <c r="I319" s="17">
        <v>4277</v>
      </c>
      <c r="J319" s="17">
        <v>857</v>
      </c>
      <c r="K319" s="18">
        <v>3665389</v>
      </c>
    </row>
    <row r="320" spans="1:11" x14ac:dyDescent="0.3">
      <c r="A320" s="17" t="s">
        <v>161</v>
      </c>
      <c r="B320" s="15" t="s">
        <v>377</v>
      </c>
      <c r="C320" s="16" t="s">
        <v>358</v>
      </c>
      <c r="D320" s="17" t="s">
        <v>162</v>
      </c>
      <c r="E320" s="17" t="s">
        <v>9</v>
      </c>
      <c r="F320" s="17" t="s">
        <v>149</v>
      </c>
      <c r="G320" s="17" t="s">
        <v>150</v>
      </c>
      <c r="H320" s="17" t="s">
        <v>33</v>
      </c>
      <c r="I320" s="17">
        <v>1696</v>
      </c>
      <c r="J320" s="17">
        <v>868</v>
      </c>
      <c r="K320" s="18">
        <v>1472128</v>
      </c>
    </row>
    <row r="321" spans="1:11" x14ac:dyDescent="0.3">
      <c r="A321" s="17" t="s">
        <v>161</v>
      </c>
      <c r="B321" s="15" t="s">
        <v>378</v>
      </c>
      <c r="C321" s="16" t="s">
        <v>358</v>
      </c>
      <c r="D321" s="17" t="s">
        <v>162</v>
      </c>
      <c r="E321" s="17" t="s">
        <v>43</v>
      </c>
      <c r="F321" s="17" t="s">
        <v>152</v>
      </c>
      <c r="G321" s="17" t="s">
        <v>153</v>
      </c>
      <c r="H321" s="17" t="s">
        <v>33</v>
      </c>
      <c r="I321" s="17">
        <v>7071</v>
      </c>
      <c r="J321" s="17">
        <v>778</v>
      </c>
      <c r="K321" s="18">
        <v>5501238</v>
      </c>
    </row>
    <row r="322" spans="1:11" x14ac:dyDescent="0.3">
      <c r="A322" s="17" t="s">
        <v>161</v>
      </c>
      <c r="B322" s="15" t="s">
        <v>379</v>
      </c>
      <c r="C322" s="16" t="s">
        <v>358</v>
      </c>
      <c r="D322" s="17" t="s">
        <v>162</v>
      </c>
      <c r="E322" s="17" t="s">
        <v>17</v>
      </c>
      <c r="F322" s="17" t="s">
        <v>155</v>
      </c>
      <c r="G322" s="17" t="s">
        <v>65</v>
      </c>
      <c r="H322" s="17" t="s">
        <v>11</v>
      </c>
      <c r="I322" s="17">
        <v>2536</v>
      </c>
      <c r="J322" s="17">
        <v>798</v>
      </c>
      <c r="K322" s="18">
        <v>2023728</v>
      </c>
    </row>
    <row r="323" spans="1:11" x14ac:dyDescent="0.3">
      <c r="A323" s="17" t="s">
        <v>67</v>
      </c>
      <c r="B323" s="15" t="s">
        <v>380</v>
      </c>
      <c r="C323" s="16" t="s">
        <v>358</v>
      </c>
      <c r="D323" s="17" t="s">
        <v>72</v>
      </c>
      <c r="E323" s="17" t="s">
        <v>14</v>
      </c>
      <c r="F323" s="17" t="s">
        <v>80</v>
      </c>
      <c r="G323" s="17" t="s">
        <v>70</v>
      </c>
      <c r="H323" s="17" t="s">
        <v>11</v>
      </c>
      <c r="I323" s="17">
        <v>7823</v>
      </c>
      <c r="J323" s="17">
        <v>833</v>
      </c>
      <c r="K323" s="18">
        <v>6516559</v>
      </c>
    </row>
    <row r="324" spans="1:11" x14ac:dyDescent="0.3">
      <c r="A324" s="17" t="s">
        <v>67</v>
      </c>
      <c r="B324" s="15" t="s">
        <v>381</v>
      </c>
      <c r="C324" s="16" t="s">
        <v>358</v>
      </c>
      <c r="D324" s="17" t="s">
        <v>72</v>
      </c>
      <c r="E324" s="17" t="s">
        <v>9</v>
      </c>
      <c r="F324" s="17" t="s">
        <v>83</v>
      </c>
      <c r="G324" s="17" t="s">
        <v>84</v>
      </c>
      <c r="H324" s="17" t="s">
        <v>11</v>
      </c>
      <c r="I324" s="17">
        <v>7275</v>
      </c>
      <c r="J324" s="17">
        <v>776</v>
      </c>
      <c r="K324" s="18">
        <v>5645400</v>
      </c>
    </row>
    <row r="325" spans="1:11" x14ac:dyDescent="0.3">
      <c r="A325" s="17" t="s">
        <v>67</v>
      </c>
      <c r="B325" s="15" t="s">
        <v>382</v>
      </c>
      <c r="C325" s="16" t="s">
        <v>358</v>
      </c>
      <c r="D325" s="17" t="s">
        <v>72</v>
      </c>
      <c r="E325" s="17" t="s">
        <v>9</v>
      </c>
      <c r="F325" s="17" t="s">
        <v>86</v>
      </c>
      <c r="G325" s="17" t="s">
        <v>84</v>
      </c>
      <c r="H325" s="17" t="s">
        <v>11</v>
      </c>
      <c r="I325" s="17">
        <v>8910</v>
      </c>
      <c r="J325" s="17">
        <v>529</v>
      </c>
      <c r="K325" s="18">
        <v>4713390</v>
      </c>
    </row>
    <row r="326" spans="1:11" x14ac:dyDescent="0.3">
      <c r="A326" s="17" t="s">
        <v>67</v>
      </c>
      <c r="B326" s="15" t="s">
        <v>383</v>
      </c>
      <c r="C326" s="16" t="s">
        <v>358</v>
      </c>
      <c r="D326" s="17" t="s">
        <v>72</v>
      </c>
      <c r="E326" s="17" t="s">
        <v>20</v>
      </c>
      <c r="F326" s="17" t="s">
        <v>88</v>
      </c>
      <c r="G326" s="17" t="s">
        <v>66</v>
      </c>
      <c r="H326" s="17" t="s">
        <v>33</v>
      </c>
      <c r="I326" s="17">
        <v>2683</v>
      </c>
      <c r="J326" s="17">
        <v>705</v>
      </c>
      <c r="K326" s="18">
        <v>1891515</v>
      </c>
    </row>
    <row r="327" spans="1:11" x14ac:dyDescent="0.3">
      <c r="A327" s="17" t="s">
        <v>67</v>
      </c>
      <c r="B327" s="15" t="s">
        <v>384</v>
      </c>
      <c r="C327" s="16" t="s">
        <v>358</v>
      </c>
      <c r="D327" s="17" t="s">
        <v>72</v>
      </c>
      <c r="E327" s="17" t="s">
        <v>20</v>
      </c>
      <c r="F327" s="17" t="s">
        <v>90</v>
      </c>
      <c r="G327" s="17" t="s">
        <v>66</v>
      </c>
      <c r="H327" s="17" t="s">
        <v>11</v>
      </c>
      <c r="I327" s="17">
        <v>7046</v>
      </c>
      <c r="J327" s="17">
        <v>576</v>
      </c>
      <c r="K327" s="18">
        <v>4058496</v>
      </c>
    </row>
    <row r="328" spans="1:11" x14ac:dyDescent="0.3">
      <c r="A328" s="17" t="s">
        <v>67</v>
      </c>
      <c r="B328" s="15" t="s">
        <v>385</v>
      </c>
      <c r="C328" s="16" t="s">
        <v>358</v>
      </c>
      <c r="D328" s="17" t="s">
        <v>82</v>
      </c>
      <c r="E328" s="17" t="s">
        <v>9</v>
      </c>
      <c r="F328" s="17" t="s">
        <v>92</v>
      </c>
      <c r="G328" s="17" t="s">
        <v>93</v>
      </c>
      <c r="H328" s="17" t="s">
        <v>11</v>
      </c>
      <c r="I328" s="17">
        <v>9395</v>
      </c>
      <c r="J328" s="17">
        <v>922</v>
      </c>
      <c r="K328" s="18">
        <v>8662190</v>
      </c>
    </row>
    <row r="329" spans="1:11" x14ac:dyDescent="0.3">
      <c r="A329" s="17" t="s">
        <v>67</v>
      </c>
      <c r="B329" s="15" t="s">
        <v>386</v>
      </c>
      <c r="C329" s="16" t="s">
        <v>358</v>
      </c>
      <c r="D329" s="17" t="s">
        <v>82</v>
      </c>
      <c r="E329" s="17" t="s">
        <v>9</v>
      </c>
      <c r="F329" s="17" t="s">
        <v>95</v>
      </c>
      <c r="G329" s="17" t="s">
        <v>84</v>
      </c>
      <c r="H329" s="17" t="s">
        <v>11</v>
      </c>
      <c r="I329" s="17">
        <v>5242</v>
      </c>
      <c r="J329" s="17">
        <v>838</v>
      </c>
      <c r="K329" s="18">
        <v>4392796</v>
      </c>
    </row>
    <row r="330" spans="1:11" x14ac:dyDescent="0.3">
      <c r="A330" s="17" t="s">
        <v>67</v>
      </c>
      <c r="B330" s="15" t="s">
        <v>387</v>
      </c>
      <c r="C330" s="16" t="s">
        <v>358</v>
      </c>
      <c r="D330" s="17" t="s">
        <v>82</v>
      </c>
      <c r="E330" s="17" t="s">
        <v>17</v>
      </c>
      <c r="F330" s="17" t="s">
        <v>97</v>
      </c>
      <c r="G330" s="17" t="s">
        <v>98</v>
      </c>
      <c r="H330" s="17" t="s">
        <v>11</v>
      </c>
      <c r="I330" s="17">
        <v>9909</v>
      </c>
      <c r="J330" s="17">
        <v>657</v>
      </c>
      <c r="K330" s="18">
        <v>6510213</v>
      </c>
    </row>
    <row r="331" spans="1:11" x14ac:dyDescent="0.3">
      <c r="A331" s="17" t="s">
        <v>67</v>
      </c>
      <c r="B331" s="15" t="s">
        <v>388</v>
      </c>
      <c r="C331" s="16" t="s">
        <v>358</v>
      </c>
      <c r="D331" s="17" t="s">
        <v>82</v>
      </c>
      <c r="E331" s="17" t="s">
        <v>20</v>
      </c>
      <c r="F331" s="17" t="s">
        <v>134</v>
      </c>
      <c r="G331" s="17" t="s">
        <v>135</v>
      </c>
      <c r="H331" s="17" t="s">
        <v>33</v>
      </c>
      <c r="I331" s="17">
        <v>2005</v>
      </c>
      <c r="J331" s="17">
        <v>748</v>
      </c>
      <c r="K331" s="18">
        <v>1499740</v>
      </c>
    </row>
    <row r="332" spans="1:11" x14ac:dyDescent="0.3">
      <c r="A332" s="17" t="s">
        <v>67</v>
      </c>
      <c r="B332" s="15" t="s">
        <v>389</v>
      </c>
      <c r="C332" s="16" t="s">
        <v>358</v>
      </c>
      <c r="D332" s="17" t="s">
        <v>82</v>
      </c>
      <c r="E332" s="17" t="s">
        <v>14</v>
      </c>
      <c r="F332" s="17" t="s">
        <v>137</v>
      </c>
      <c r="G332" s="17" t="s">
        <v>64</v>
      </c>
      <c r="H332" s="17" t="s">
        <v>33</v>
      </c>
      <c r="I332" s="17">
        <v>1891</v>
      </c>
      <c r="J332" s="17">
        <v>953</v>
      </c>
      <c r="K332" s="18">
        <v>1802123</v>
      </c>
    </row>
    <row r="333" spans="1:11" x14ac:dyDescent="0.3">
      <c r="A333" s="17" t="s">
        <v>67</v>
      </c>
      <c r="B333" s="15" t="s">
        <v>390</v>
      </c>
      <c r="C333" s="16" t="s">
        <v>358</v>
      </c>
      <c r="D333" s="17" t="s">
        <v>82</v>
      </c>
      <c r="E333" s="17" t="s">
        <v>9</v>
      </c>
      <c r="F333" s="17" t="s">
        <v>139</v>
      </c>
      <c r="G333" s="17" t="s">
        <v>140</v>
      </c>
      <c r="H333" s="17" t="s">
        <v>33</v>
      </c>
      <c r="I333" s="17">
        <v>6839</v>
      </c>
      <c r="J333" s="17">
        <v>909</v>
      </c>
      <c r="K333" s="18">
        <v>6216651</v>
      </c>
    </row>
    <row r="334" spans="1:11" x14ac:dyDescent="0.3">
      <c r="A334" s="17" t="s">
        <v>161</v>
      </c>
      <c r="B334" s="15" t="s">
        <v>277</v>
      </c>
      <c r="C334" s="16" t="s">
        <v>358</v>
      </c>
      <c r="D334" s="17" t="s">
        <v>182</v>
      </c>
      <c r="E334" s="17" t="s">
        <v>9</v>
      </c>
      <c r="F334" s="17" t="s">
        <v>142</v>
      </c>
      <c r="G334" s="17" t="s">
        <v>143</v>
      </c>
      <c r="H334" s="17" t="s">
        <v>33</v>
      </c>
      <c r="I334" s="17">
        <v>8854</v>
      </c>
      <c r="J334" s="17">
        <v>944</v>
      </c>
      <c r="K334" s="18">
        <v>8358176</v>
      </c>
    </row>
    <row r="335" spans="1:11" x14ac:dyDescent="0.3">
      <c r="A335" s="17" t="s">
        <v>161</v>
      </c>
      <c r="B335" s="15" t="s">
        <v>391</v>
      </c>
      <c r="C335" s="16" t="s">
        <v>358</v>
      </c>
      <c r="D335" s="17" t="s">
        <v>182</v>
      </c>
      <c r="E335" s="17" t="s">
        <v>145</v>
      </c>
      <c r="F335" s="17" t="s">
        <v>146</v>
      </c>
      <c r="G335" s="17" t="s">
        <v>147</v>
      </c>
      <c r="H335" s="17" t="s">
        <v>33</v>
      </c>
      <c r="I335" s="17">
        <v>8143</v>
      </c>
      <c r="J335" s="17">
        <v>786</v>
      </c>
      <c r="K335" s="18">
        <v>6400398</v>
      </c>
    </row>
    <row r="336" spans="1:11" x14ac:dyDescent="0.3">
      <c r="A336" s="17" t="s">
        <v>161</v>
      </c>
      <c r="B336" s="15" t="s">
        <v>392</v>
      </c>
      <c r="C336" s="16" t="s">
        <v>358</v>
      </c>
      <c r="D336" s="17" t="s">
        <v>182</v>
      </c>
      <c r="E336" s="17" t="s">
        <v>9</v>
      </c>
      <c r="F336" s="17" t="s">
        <v>149</v>
      </c>
      <c r="G336" s="17" t="s">
        <v>150</v>
      </c>
      <c r="H336" s="17" t="s">
        <v>33</v>
      </c>
      <c r="I336" s="17">
        <v>8069</v>
      </c>
      <c r="J336" s="17">
        <v>553</v>
      </c>
      <c r="K336" s="18">
        <v>4462157</v>
      </c>
    </row>
    <row r="337" spans="1:11" x14ac:dyDescent="0.3">
      <c r="A337" s="17" t="s">
        <v>161</v>
      </c>
      <c r="B337" s="15" t="s">
        <v>235</v>
      </c>
      <c r="C337" s="16" t="s">
        <v>358</v>
      </c>
      <c r="D337" s="17" t="s">
        <v>182</v>
      </c>
      <c r="E337" s="17" t="s">
        <v>43</v>
      </c>
      <c r="F337" s="17" t="s">
        <v>152</v>
      </c>
      <c r="G337" s="17" t="s">
        <v>153</v>
      </c>
      <c r="H337" s="17" t="s">
        <v>33</v>
      </c>
      <c r="I337" s="17">
        <v>2268</v>
      </c>
      <c r="J337" s="17">
        <v>911</v>
      </c>
      <c r="K337" s="18">
        <v>2066148</v>
      </c>
    </row>
    <row r="338" spans="1:11" x14ac:dyDescent="0.3">
      <c r="A338" s="17" t="s">
        <v>161</v>
      </c>
      <c r="B338" s="15" t="s">
        <v>393</v>
      </c>
      <c r="C338" s="16" t="s">
        <v>358</v>
      </c>
      <c r="D338" s="17" t="s">
        <v>182</v>
      </c>
      <c r="E338" s="17" t="s">
        <v>17</v>
      </c>
      <c r="F338" s="17" t="s">
        <v>155</v>
      </c>
      <c r="G338" s="17" t="s">
        <v>65</v>
      </c>
      <c r="H338" s="17" t="s">
        <v>33</v>
      </c>
      <c r="I338" s="17">
        <v>2576</v>
      </c>
      <c r="J338" s="17">
        <v>987</v>
      </c>
      <c r="K338" s="18">
        <v>2542512</v>
      </c>
    </row>
    <row r="339" spans="1:11" x14ac:dyDescent="0.3">
      <c r="A339" s="17" t="s">
        <v>161</v>
      </c>
      <c r="B339" s="15" t="s">
        <v>233</v>
      </c>
      <c r="C339" s="16" t="s">
        <v>358</v>
      </c>
      <c r="D339" s="17" t="s">
        <v>182</v>
      </c>
      <c r="E339" s="17" t="s">
        <v>17</v>
      </c>
      <c r="F339" s="17" t="s">
        <v>18</v>
      </c>
      <c r="G339" s="17" t="s">
        <v>65</v>
      </c>
      <c r="H339" s="17" t="s">
        <v>33</v>
      </c>
      <c r="I339" s="17">
        <v>7694</v>
      </c>
      <c r="J339" s="17">
        <v>907</v>
      </c>
      <c r="K339" s="18">
        <v>6978458</v>
      </c>
    </row>
    <row r="340" spans="1:11" x14ac:dyDescent="0.3">
      <c r="A340" s="17" t="s">
        <v>161</v>
      </c>
      <c r="B340" s="15" t="s">
        <v>394</v>
      </c>
      <c r="C340" s="16" t="s">
        <v>395</v>
      </c>
      <c r="D340" s="17" t="s">
        <v>182</v>
      </c>
      <c r="E340" s="17" t="s">
        <v>43</v>
      </c>
      <c r="F340" s="17" t="s">
        <v>104</v>
      </c>
      <c r="G340" s="17" t="s">
        <v>74</v>
      </c>
      <c r="H340" s="17" t="s">
        <v>33</v>
      </c>
      <c r="I340" s="17">
        <v>8952</v>
      </c>
      <c r="J340" s="17">
        <v>760</v>
      </c>
      <c r="K340" s="18">
        <v>6803520</v>
      </c>
    </row>
    <row r="341" spans="1:11" x14ac:dyDescent="0.3">
      <c r="A341" s="17" t="s">
        <v>161</v>
      </c>
      <c r="B341" s="15" t="s">
        <v>396</v>
      </c>
      <c r="C341" s="16" t="s">
        <v>395</v>
      </c>
      <c r="D341" s="17" t="s">
        <v>182</v>
      </c>
      <c r="E341" s="17" t="s">
        <v>17</v>
      </c>
      <c r="F341" s="17" t="s">
        <v>106</v>
      </c>
      <c r="G341" s="17" t="s">
        <v>98</v>
      </c>
      <c r="H341" s="17" t="s">
        <v>11</v>
      </c>
      <c r="I341" s="17">
        <v>5764</v>
      </c>
      <c r="J341" s="17">
        <v>622</v>
      </c>
      <c r="K341" s="18">
        <v>3585208</v>
      </c>
    </row>
    <row r="342" spans="1:11" x14ac:dyDescent="0.3">
      <c r="A342" s="17" t="s">
        <v>161</v>
      </c>
      <c r="B342" s="15" t="s">
        <v>397</v>
      </c>
      <c r="C342" s="16" t="s">
        <v>395</v>
      </c>
      <c r="D342" s="17" t="s">
        <v>182</v>
      </c>
      <c r="E342" s="17" t="s">
        <v>17</v>
      </c>
      <c r="F342" s="17" t="s">
        <v>108</v>
      </c>
      <c r="G342" s="17" t="s">
        <v>65</v>
      </c>
      <c r="H342" s="17" t="s">
        <v>11</v>
      </c>
      <c r="I342" s="17">
        <v>9098</v>
      </c>
      <c r="J342" s="17">
        <v>677</v>
      </c>
      <c r="K342" s="18">
        <v>6159346</v>
      </c>
    </row>
    <row r="343" spans="1:11" x14ac:dyDescent="0.3">
      <c r="A343" s="17" t="s">
        <v>161</v>
      </c>
      <c r="B343" s="15" t="s">
        <v>398</v>
      </c>
      <c r="C343" s="16" t="s">
        <v>395</v>
      </c>
      <c r="D343" s="17" t="s">
        <v>182</v>
      </c>
      <c r="E343" s="17" t="s">
        <v>9</v>
      </c>
      <c r="F343" s="17" t="s">
        <v>95</v>
      </c>
      <c r="G343" s="17" t="s">
        <v>84</v>
      </c>
      <c r="H343" s="17" t="s">
        <v>11</v>
      </c>
      <c r="I343" s="17">
        <v>2777</v>
      </c>
      <c r="J343" s="17">
        <v>986</v>
      </c>
      <c r="K343" s="18">
        <v>2738122</v>
      </c>
    </row>
    <row r="344" spans="1:11" x14ac:dyDescent="0.3">
      <c r="A344" s="17" t="s">
        <v>161</v>
      </c>
      <c r="B344" s="15" t="s">
        <v>399</v>
      </c>
      <c r="C344" s="16" t="s">
        <v>395</v>
      </c>
      <c r="D344" s="17" t="s">
        <v>182</v>
      </c>
      <c r="E344" s="17" t="s">
        <v>17</v>
      </c>
      <c r="F344" s="17" t="s">
        <v>97</v>
      </c>
      <c r="G344" s="17" t="s">
        <v>98</v>
      </c>
      <c r="H344" s="17" t="s">
        <v>11</v>
      </c>
      <c r="I344" s="17">
        <v>9218</v>
      </c>
      <c r="J344" s="17">
        <v>927</v>
      </c>
      <c r="K344" s="18">
        <v>8545086</v>
      </c>
    </row>
    <row r="345" spans="1:11" x14ac:dyDescent="0.3">
      <c r="A345" s="17" t="s">
        <v>161</v>
      </c>
      <c r="B345" s="15" t="s">
        <v>400</v>
      </c>
      <c r="C345" s="16" t="s">
        <v>395</v>
      </c>
      <c r="D345" s="17" t="s">
        <v>182</v>
      </c>
      <c r="E345" s="17" t="s">
        <v>20</v>
      </c>
      <c r="F345" s="17" t="s">
        <v>134</v>
      </c>
      <c r="G345" s="17" t="s">
        <v>135</v>
      </c>
      <c r="H345" s="17" t="s">
        <v>11</v>
      </c>
      <c r="I345" s="17">
        <v>6785</v>
      </c>
      <c r="J345" s="17">
        <v>751</v>
      </c>
      <c r="K345" s="18">
        <v>5095535</v>
      </c>
    </row>
    <row r="346" spans="1:11" x14ac:dyDescent="0.3">
      <c r="A346" s="17" t="s">
        <v>63</v>
      </c>
      <c r="B346" s="15" t="s">
        <v>401</v>
      </c>
      <c r="C346" s="16" t="s">
        <v>395</v>
      </c>
      <c r="D346" s="17" t="s">
        <v>103</v>
      </c>
      <c r="E346" s="17" t="s">
        <v>14</v>
      </c>
      <c r="F346" s="17" t="s">
        <v>137</v>
      </c>
      <c r="G346" s="17" t="s">
        <v>64</v>
      </c>
      <c r="H346" s="17" t="s">
        <v>33</v>
      </c>
      <c r="I346" s="17">
        <v>1980</v>
      </c>
      <c r="J346" s="17">
        <v>648</v>
      </c>
      <c r="K346" s="18">
        <v>1283040</v>
      </c>
    </row>
    <row r="347" spans="1:11" x14ac:dyDescent="0.3">
      <c r="A347" s="17" t="s">
        <v>63</v>
      </c>
      <c r="B347" s="15" t="s">
        <v>402</v>
      </c>
      <c r="C347" s="16" t="s">
        <v>395</v>
      </c>
      <c r="D347" s="17" t="s">
        <v>103</v>
      </c>
      <c r="E347" s="17" t="s">
        <v>9</v>
      </c>
      <c r="F347" s="17" t="s">
        <v>139</v>
      </c>
      <c r="G347" s="17" t="s">
        <v>140</v>
      </c>
      <c r="H347" s="17" t="s">
        <v>33</v>
      </c>
      <c r="I347" s="17">
        <v>6082</v>
      </c>
      <c r="J347" s="17">
        <v>810</v>
      </c>
      <c r="K347" s="18">
        <v>4926420</v>
      </c>
    </row>
    <row r="348" spans="1:11" x14ac:dyDescent="0.3">
      <c r="A348" s="17" t="s">
        <v>63</v>
      </c>
      <c r="B348" s="15" t="s">
        <v>403</v>
      </c>
      <c r="C348" s="16" t="s">
        <v>395</v>
      </c>
      <c r="D348" s="17" t="s">
        <v>103</v>
      </c>
      <c r="E348" s="17" t="s">
        <v>9</v>
      </c>
      <c r="F348" s="17" t="s">
        <v>142</v>
      </c>
      <c r="G348" s="17" t="s">
        <v>143</v>
      </c>
      <c r="H348" s="17" t="s">
        <v>33</v>
      </c>
      <c r="I348" s="17">
        <v>9433</v>
      </c>
      <c r="J348" s="17">
        <v>540</v>
      </c>
      <c r="K348" s="18">
        <v>5093820</v>
      </c>
    </row>
    <row r="349" spans="1:11" x14ac:dyDescent="0.3">
      <c r="A349" s="17" t="s">
        <v>63</v>
      </c>
      <c r="B349" s="15" t="s">
        <v>404</v>
      </c>
      <c r="C349" s="16" t="s">
        <v>395</v>
      </c>
      <c r="D349" s="17" t="s">
        <v>103</v>
      </c>
      <c r="E349" s="17" t="s">
        <v>145</v>
      </c>
      <c r="F349" s="17" t="s">
        <v>146</v>
      </c>
      <c r="G349" s="17" t="s">
        <v>147</v>
      </c>
      <c r="H349" s="17" t="s">
        <v>11</v>
      </c>
      <c r="I349" s="17">
        <v>5549</v>
      </c>
      <c r="J349" s="17">
        <v>973</v>
      </c>
      <c r="K349" s="18">
        <v>5399177</v>
      </c>
    </row>
    <row r="350" spans="1:11" x14ac:dyDescent="0.3">
      <c r="A350" s="17" t="s">
        <v>63</v>
      </c>
      <c r="B350" s="15" t="s">
        <v>405</v>
      </c>
      <c r="C350" s="16" t="s">
        <v>395</v>
      </c>
      <c r="D350" s="17" t="s">
        <v>103</v>
      </c>
      <c r="E350" s="17" t="s">
        <v>9</v>
      </c>
      <c r="F350" s="17" t="s">
        <v>149</v>
      </c>
      <c r="G350" s="17" t="s">
        <v>150</v>
      </c>
      <c r="H350" s="17" t="s">
        <v>11</v>
      </c>
      <c r="I350" s="17">
        <v>2572</v>
      </c>
      <c r="J350" s="17">
        <v>777</v>
      </c>
      <c r="K350" s="18">
        <v>1998444</v>
      </c>
    </row>
    <row r="351" spans="1:11" x14ac:dyDescent="0.3">
      <c r="A351" s="17" t="s">
        <v>63</v>
      </c>
      <c r="B351" s="15" t="s">
        <v>406</v>
      </c>
      <c r="C351" s="16" t="s">
        <v>395</v>
      </c>
      <c r="D351" s="17" t="s">
        <v>103</v>
      </c>
      <c r="E351" s="17" t="s">
        <v>43</v>
      </c>
      <c r="F351" s="17" t="s">
        <v>152</v>
      </c>
      <c r="G351" s="17" t="s">
        <v>153</v>
      </c>
      <c r="H351" s="17" t="s">
        <v>11</v>
      </c>
      <c r="I351" s="17">
        <v>5503</v>
      </c>
      <c r="J351" s="17">
        <v>717</v>
      </c>
      <c r="K351" s="18">
        <v>3945651</v>
      </c>
    </row>
    <row r="352" spans="1:11" x14ac:dyDescent="0.3">
      <c r="A352" s="17" t="s">
        <v>63</v>
      </c>
      <c r="B352" s="15" t="s">
        <v>407</v>
      </c>
      <c r="C352" s="16" t="s">
        <v>395</v>
      </c>
      <c r="D352" s="17" t="s">
        <v>103</v>
      </c>
      <c r="E352" s="17" t="s">
        <v>17</v>
      </c>
      <c r="F352" s="17" t="s">
        <v>155</v>
      </c>
      <c r="G352" s="17" t="s">
        <v>65</v>
      </c>
      <c r="H352" s="17" t="s">
        <v>11</v>
      </c>
      <c r="I352" s="17">
        <v>5562</v>
      </c>
      <c r="J352" s="17">
        <v>986</v>
      </c>
      <c r="K352" s="18">
        <v>5484132</v>
      </c>
    </row>
    <row r="353" spans="1:11" x14ac:dyDescent="0.3">
      <c r="A353" s="17" t="s">
        <v>63</v>
      </c>
      <c r="B353" s="15" t="s">
        <v>408</v>
      </c>
      <c r="C353" s="16" t="s">
        <v>395</v>
      </c>
      <c r="D353" s="17" t="s">
        <v>103</v>
      </c>
      <c r="E353" s="17" t="s">
        <v>17</v>
      </c>
      <c r="F353" s="17" t="s">
        <v>18</v>
      </c>
      <c r="G353" s="17" t="s">
        <v>65</v>
      </c>
      <c r="H353" s="17" t="s">
        <v>11</v>
      </c>
      <c r="I353" s="17">
        <v>3673</v>
      </c>
      <c r="J353" s="17">
        <v>855</v>
      </c>
      <c r="K353" s="18">
        <v>3140415</v>
      </c>
    </row>
    <row r="354" spans="1:11" x14ac:dyDescent="0.3">
      <c r="A354" s="17" t="s">
        <v>63</v>
      </c>
      <c r="B354" s="15" t="s">
        <v>409</v>
      </c>
      <c r="C354" s="16" t="s">
        <v>395</v>
      </c>
      <c r="D354" s="17" t="s">
        <v>103</v>
      </c>
      <c r="E354" s="17" t="s">
        <v>43</v>
      </c>
      <c r="F354" s="17" t="s">
        <v>104</v>
      </c>
      <c r="G354" s="17" t="s">
        <v>74</v>
      </c>
      <c r="H354" s="17" t="s">
        <v>33</v>
      </c>
      <c r="I354" s="17">
        <v>2344</v>
      </c>
      <c r="J354" s="17">
        <v>536</v>
      </c>
      <c r="K354" s="18">
        <v>1256384</v>
      </c>
    </row>
    <row r="355" spans="1:11" x14ac:dyDescent="0.3">
      <c r="A355" s="17" t="s">
        <v>63</v>
      </c>
      <c r="B355" s="15" t="s">
        <v>410</v>
      </c>
      <c r="C355" s="16" t="s">
        <v>395</v>
      </c>
      <c r="D355" s="17" t="s">
        <v>103</v>
      </c>
      <c r="E355" s="17" t="s">
        <v>17</v>
      </c>
      <c r="F355" s="17" t="s">
        <v>106</v>
      </c>
      <c r="G355" s="17" t="s">
        <v>98</v>
      </c>
      <c r="H355" s="17" t="s">
        <v>33</v>
      </c>
      <c r="I355" s="17">
        <v>6278</v>
      </c>
      <c r="J355" s="17">
        <v>540</v>
      </c>
      <c r="K355" s="18">
        <v>3390120</v>
      </c>
    </row>
    <row r="356" spans="1:11" x14ac:dyDescent="0.3">
      <c r="A356" s="17" t="s">
        <v>63</v>
      </c>
      <c r="B356" s="15" t="s">
        <v>411</v>
      </c>
      <c r="C356" s="16" t="s">
        <v>395</v>
      </c>
      <c r="D356" s="17" t="s">
        <v>103</v>
      </c>
      <c r="E356" s="17" t="s">
        <v>14</v>
      </c>
      <c r="F356" s="17" t="s">
        <v>80</v>
      </c>
      <c r="G356" s="17" t="s">
        <v>70</v>
      </c>
      <c r="H356" s="17" t="s">
        <v>33</v>
      </c>
      <c r="I356" s="17">
        <v>9561</v>
      </c>
      <c r="J356" s="17">
        <v>674</v>
      </c>
      <c r="K356" s="18">
        <v>6444114</v>
      </c>
    </row>
    <row r="357" spans="1:11" x14ac:dyDescent="0.3">
      <c r="A357" s="17" t="s">
        <v>67</v>
      </c>
      <c r="B357" s="15" t="s">
        <v>412</v>
      </c>
      <c r="C357" s="16" t="s">
        <v>395</v>
      </c>
      <c r="D357" s="17" t="s">
        <v>72</v>
      </c>
      <c r="E357" s="17" t="s">
        <v>9</v>
      </c>
      <c r="F357" s="17" t="s">
        <v>83</v>
      </c>
      <c r="G357" s="17" t="s">
        <v>84</v>
      </c>
      <c r="H357" s="17" t="s">
        <v>33</v>
      </c>
      <c r="I357" s="17">
        <v>2952</v>
      </c>
      <c r="J357" s="17">
        <v>640</v>
      </c>
      <c r="K357" s="18">
        <v>1889280</v>
      </c>
    </row>
    <row r="358" spans="1:11" x14ac:dyDescent="0.3">
      <c r="A358" s="17" t="s">
        <v>67</v>
      </c>
      <c r="B358" s="15" t="s">
        <v>413</v>
      </c>
      <c r="C358" s="16" t="s">
        <v>395</v>
      </c>
      <c r="D358" s="17" t="s">
        <v>72</v>
      </c>
      <c r="E358" s="17" t="s">
        <v>9</v>
      </c>
      <c r="F358" s="17" t="s">
        <v>86</v>
      </c>
      <c r="G358" s="17" t="s">
        <v>84</v>
      </c>
      <c r="H358" s="17" t="s">
        <v>33</v>
      </c>
      <c r="I358" s="17">
        <v>5507</v>
      </c>
      <c r="J358" s="17">
        <v>618</v>
      </c>
      <c r="K358" s="18">
        <v>3403326</v>
      </c>
    </row>
    <row r="359" spans="1:11" x14ac:dyDescent="0.3">
      <c r="A359" s="17" t="s">
        <v>67</v>
      </c>
      <c r="B359" s="15" t="s">
        <v>414</v>
      </c>
      <c r="C359" s="16" t="s">
        <v>395</v>
      </c>
      <c r="D359" s="17" t="s">
        <v>72</v>
      </c>
      <c r="E359" s="17" t="s">
        <v>20</v>
      </c>
      <c r="F359" s="17" t="s">
        <v>88</v>
      </c>
      <c r="G359" s="17" t="s">
        <v>66</v>
      </c>
      <c r="H359" s="17" t="s">
        <v>33</v>
      </c>
      <c r="I359" s="17">
        <v>9862</v>
      </c>
      <c r="J359" s="17">
        <v>755</v>
      </c>
      <c r="K359" s="18">
        <v>7445810</v>
      </c>
    </row>
    <row r="360" spans="1:11" x14ac:dyDescent="0.3">
      <c r="A360" s="17" t="s">
        <v>67</v>
      </c>
      <c r="B360" s="15" t="s">
        <v>415</v>
      </c>
      <c r="C360" s="16" t="s">
        <v>395</v>
      </c>
      <c r="D360" s="17" t="s">
        <v>72</v>
      </c>
      <c r="E360" s="17" t="s">
        <v>20</v>
      </c>
      <c r="F360" s="17" t="s">
        <v>90</v>
      </c>
      <c r="G360" s="17" t="s">
        <v>66</v>
      </c>
      <c r="H360" s="17" t="s">
        <v>33</v>
      </c>
      <c r="I360" s="17">
        <v>9694</v>
      </c>
      <c r="J360" s="17">
        <v>829</v>
      </c>
      <c r="K360" s="18">
        <v>8036326</v>
      </c>
    </row>
    <row r="361" spans="1:11" x14ac:dyDescent="0.3">
      <c r="A361" s="17" t="s">
        <v>67</v>
      </c>
      <c r="B361" s="15" t="s">
        <v>416</v>
      </c>
      <c r="C361" s="16" t="s">
        <v>395</v>
      </c>
      <c r="D361" s="17" t="s">
        <v>72</v>
      </c>
      <c r="E361" s="17" t="s">
        <v>9</v>
      </c>
      <c r="F361" s="17" t="s">
        <v>92</v>
      </c>
      <c r="G361" s="17" t="s">
        <v>93</v>
      </c>
      <c r="H361" s="17" t="s">
        <v>11</v>
      </c>
      <c r="I361" s="17">
        <v>6821</v>
      </c>
      <c r="J361" s="17">
        <v>919</v>
      </c>
      <c r="K361" s="18">
        <v>6268499</v>
      </c>
    </row>
    <row r="362" spans="1:11" x14ac:dyDescent="0.3">
      <c r="A362" s="17" t="s">
        <v>67</v>
      </c>
      <c r="B362" s="15" t="s">
        <v>417</v>
      </c>
      <c r="C362" s="16" t="s">
        <v>395</v>
      </c>
      <c r="D362" s="17" t="s">
        <v>72</v>
      </c>
      <c r="E362" s="17" t="s">
        <v>9</v>
      </c>
      <c r="F362" s="17" t="s">
        <v>95</v>
      </c>
      <c r="G362" s="17" t="s">
        <v>84</v>
      </c>
      <c r="H362" s="17" t="s">
        <v>11</v>
      </c>
      <c r="I362" s="17">
        <v>7329</v>
      </c>
      <c r="J362" s="17">
        <v>778</v>
      </c>
      <c r="K362" s="18">
        <v>5701962</v>
      </c>
    </row>
    <row r="363" spans="1:11" x14ac:dyDescent="0.3">
      <c r="A363" s="17" t="s">
        <v>67</v>
      </c>
      <c r="B363" s="15" t="s">
        <v>418</v>
      </c>
      <c r="C363" s="16" t="s">
        <v>395</v>
      </c>
      <c r="D363" s="17" t="s">
        <v>72</v>
      </c>
      <c r="E363" s="17" t="s">
        <v>17</v>
      </c>
      <c r="F363" s="17" t="s">
        <v>97</v>
      </c>
      <c r="G363" s="17" t="s">
        <v>98</v>
      </c>
      <c r="H363" s="17" t="s">
        <v>11</v>
      </c>
      <c r="I363" s="17">
        <v>6427</v>
      </c>
      <c r="J363" s="17">
        <v>825</v>
      </c>
      <c r="K363" s="18">
        <v>5302275</v>
      </c>
    </row>
    <row r="364" spans="1:11" x14ac:dyDescent="0.3">
      <c r="A364" s="17" t="s">
        <v>67</v>
      </c>
      <c r="B364" s="15" t="s">
        <v>419</v>
      </c>
      <c r="C364" s="16" t="s">
        <v>395</v>
      </c>
      <c r="D364" s="17" t="s">
        <v>72</v>
      </c>
      <c r="E364" s="17" t="s">
        <v>20</v>
      </c>
      <c r="F364" s="17" t="s">
        <v>134</v>
      </c>
      <c r="G364" s="17" t="s">
        <v>135</v>
      </c>
      <c r="H364" s="17" t="s">
        <v>11</v>
      </c>
      <c r="I364" s="17">
        <v>8915</v>
      </c>
      <c r="J364" s="17">
        <v>586</v>
      </c>
      <c r="K364" s="18">
        <v>5224190</v>
      </c>
    </row>
    <row r="365" spans="1:11" x14ac:dyDescent="0.3">
      <c r="A365" s="17" t="s">
        <v>67</v>
      </c>
      <c r="B365" s="15" t="s">
        <v>420</v>
      </c>
      <c r="C365" s="16" t="s">
        <v>395</v>
      </c>
      <c r="D365" s="17" t="s">
        <v>72</v>
      </c>
      <c r="E365" s="17" t="s">
        <v>14</v>
      </c>
      <c r="F365" s="17" t="s">
        <v>137</v>
      </c>
      <c r="G365" s="17" t="s">
        <v>64</v>
      </c>
      <c r="H365" s="17" t="s">
        <v>33</v>
      </c>
      <c r="I365" s="17">
        <v>4848</v>
      </c>
      <c r="J365" s="17">
        <v>556</v>
      </c>
      <c r="K365" s="18">
        <v>2695488</v>
      </c>
    </row>
    <row r="366" spans="1:11" x14ac:dyDescent="0.3">
      <c r="A366" s="17" t="s">
        <v>67</v>
      </c>
      <c r="B366" s="15" t="s">
        <v>421</v>
      </c>
      <c r="C366" s="16" t="s">
        <v>395</v>
      </c>
      <c r="D366" s="17" t="s">
        <v>72</v>
      </c>
      <c r="E366" s="17" t="s">
        <v>9</v>
      </c>
      <c r="F366" s="17" t="s">
        <v>139</v>
      </c>
      <c r="G366" s="17" t="s">
        <v>140</v>
      </c>
      <c r="H366" s="17" t="s">
        <v>11</v>
      </c>
      <c r="I366" s="17">
        <v>5990</v>
      </c>
      <c r="J366" s="17">
        <v>859</v>
      </c>
      <c r="K366" s="18">
        <v>5145410</v>
      </c>
    </row>
    <row r="367" spans="1:11" x14ac:dyDescent="0.3">
      <c r="A367" s="17" t="s">
        <v>67</v>
      </c>
      <c r="B367" s="15" t="s">
        <v>422</v>
      </c>
      <c r="C367" s="16" t="s">
        <v>395</v>
      </c>
      <c r="D367" s="17" t="s">
        <v>72</v>
      </c>
      <c r="E367" s="17" t="s">
        <v>9</v>
      </c>
      <c r="F367" s="17" t="s">
        <v>142</v>
      </c>
      <c r="G367" s="17" t="s">
        <v>143</v>
      </c>
      <c r="H367" s="17" t="s">
        <v>11</v>
      </c>
      <c r="I367" s="17">
        <v>6726</v>
      </c>
      <c r="J367" s="17">
        <v>900</v>
      </c>
      <c r="K367" s="18">
        <v>6053400</v>
      </c>
    </row>
    <row r="368" spans="1:11" x14ac:dyDescent="0.3">
      <c r="A368" s="17" t="s">
        <v>67</v>
      </c>
      <c r="B368" s="15" t="s">
        <v>423</v>
      </c>
      <c r="C368" s="16" t="s">
        <v>395</v>
      </c>
      <c r="D368" s="17" t="s">
        <v>72</v>
      </c>
      <c r="E368" s="17" t="s">
        <v>145</v>
      </c>
      <c r="F368" s="17" t="s">
        <v>146</v>
      </c>
      <c r="G368" s="17" t="s">
        <v>147</v>
      </c>
      <c r="H368" s="17" t="s">
        <v>11</v>
      </c>
      <c r="I368" s="17">
        <v>5686</v>
      </c>
      <c r="J368" s="17">
        <v>731</v>
      </c>
      <c r="K368" s="18">
        <v>4156466</v>
      </c>
    </row>
    <row r="369" spans="1:11" x14ac:dyDescent="0.3">
      <c r="A369" s="17" t="s">
        <v>67</v>
      </c>
      <c r="B369" s="15" t="s">
        <v>424</v>
      </c>
      <c r="C369" s="16" t="s">
        <v>395</v>
      </c>
      <c r="D369" s="17" t="s">
        <v>82</v>
      </c>
      <c r="E369" s="17" t="s">
        <v>9</v>
      </c>
      <c r="F369" s="17" t="s">
        <v>149</v>
      </c>
      <c r="G369" s="17" t="s">
        <v>150</v>
      </c>
      <c r="H369" s="17" t="s">
        <v>11</v>
      </c>
      <c r="I369" s="17">
        <v>5246</v>
      </c>
      <c r="J369" s="17">
        <v>653</v>
      </c>
      <c r="K369" s="18">
        <v>3425638</v>
      </c>
    </row>
    <row r="370" spans="1:11" x14ac:dyDescent="0.3">
      <c r="A370" s="17" t="s">
        <v>161</v>
      </c>
      <c r="B370" s="15" t="s">
        <v>164</v>
      </c>
      <c r="C370" s="16" t="s">
        <v>395</v>
      </c>
      <c r="D370" s="17" t="s">
        <v>162</v>
      </c>
      <c r="E370" s="17" t="s">
        <v>43</v>
      </c>
      <c r="F370" s="17" t="s">
        <v>152</v>
      </c>
      <c r="G370" s="17" t="s">
        <v>153</v>
      </c>
      <c r="H370" s="17" t="s">
        <v>33</v>
      </c>
      <c r="I370" s="17">
        <v>6124</v>
      </c>
      <c r="J370" s="17">
        <v>634</v>
      </c>
      <c r="K370" s="18">
        <v>3882616</v>
      </c>
    </row>
    <row r="371" spans="1:11" x14ac:dyDescent="0.3">
      <c r="A371" s="17" t="s">
        <v>161</v>
      </c>
      <c r="B371" s="15" t="s">
        <v>165</v>
      </c>
      <c r="C371" s="16" t="s">
        <v>395</v>
      </c>
      <c r="D371" s="17" t="s">
        <v>162</v>
      </c>
      <c r="E371" s="17" t="s">
        <v>17</v>
      </c>
      <c r="F371" s="17" t="s">
        <v>155</v>
      </c>
      <c r="G371" s="17" t="s">
        <v>65</v>
      </c>
      <c r="H371" s="17" t="s">
        <v>33</v>
      </c>
      <c r="I371" s="17">
        <v>6233</v>
      </c>
      <c r="J371" s="17">
        <v>675</v>
      </c>
      <c r="K371" s="18">
        <v>4207275</v>
      </c>
    </row>
    <row r="372" spans="1:11" x14ac:dyDescent="0.3">
      <c r="A372" s="17" t="s">
        <v>161</v>
      </c>
      <c r="B372" s="15" t="s">
        <v>166</v>
      </c>
      <c r="C372" s="16" t="s">
        <v>395</v>
      </c>
      <c r="D372" s="17" t="s">
        <v>162</v>
      </c>
      <c r="E372" s="17" t="s">
        <v>17</v>
      </c>
      <c r="F372" s="17" t="s">
        <v>18</v>
      </c>
      <c r="G372" s="17" t="s">
        <v>65</v>
      </c>
      <c r="H372" s="17" t="s">
        <v>33</v>
      </c>
      <c r="I372" s="17">
        <v>9156</v>
      </c>
      <c r="J372" s="17">
        <v>778</v>
      </c>
      <c r="K372" s="18">
        <v>7123368</v>
      </c>
    </row>
    <row r="373" spans="1:11" x14ac:dyDescent="0.3">
      <c r="A373" s="17" t="s">
        <v>161</v>
      </c>
      <c r="B373" s="15" t="s">
        <v>167</v>
      </c>
      <c r="C373" s="16" t="s">
        <v>395</v>
      </c>
      <c r="D373" s="17" t="s">
        <v>162</v>
      </c>
      <c r="E373" s="17" t="s">
        <v>43</v>
      </c>
      <c r="F373" s="17" t="s">
        <v>104</v>
      </c>
      <c r="G373" s="17" t="s">
        <v>74</v>
      </c>
      <c r="H373" s="17" t="s">
        <v>11</v>
      </c>
      <c r="I373" s="17">
        <v>3687</v>
      </c>
      <c r="J373" s="17">
        <v>867</v>
      </c>
      <c r="K373" s="18">
        <v>3196629</v>
      </c>
    </row>
    <row r="374" spans="1:11" x14ac:dyDescent="0.3">
      <c r="A374" s="17" t="s">
        <v>161</v>
      </c>
      <c r="B374" s="15" t="s">
        <v>168</v>
      </c>
      <c r="C374" s="16" t="s">
        <v>395</v>
      </c>
      <c r="D374" s="17" t="s">
        <v>162</v>
      </c>
      <c r="E374" s="17" t="s">
        <v>17</v>
      </c>
      <c r="F374" s="17" t="s">
        <v>106</v>
      </c>
      <c r="G374" s="17" t="s">
        <v>98</v>
      </c>
      <c r="H374" s="17" t="s">
        <v>11</v>
      </c>
      <c r="I374" s="17">
        <v>3165</v>
      </c>
      <c r="J374" s="17">
        <v>903</v>
      </c>
      <c r="K374" s="18">
        <v>2857995</v>
      </c>
    </row>
    <row r="375" spans="1:11" x14ac:dyDescent="0.3">
      <c r="A375" s="17" t="s">
        <v>67</v>
      </c>
      <c r="B375" s="15" t="s">
        <v>169</v>
      </c>
      <c r="C375" s="16" t="s">
        <v>395</v>
      </c>
      <c r="D375" s="17" t="s">
        <v>72</v>
      </c>
      <c r="E375" s="17" t="s">
        <v>17</v>
      </c>
      <c r="F375" s="17" t="s">
        <v>108</v>
      </c>
      <c r="G375" s="17" t="s">
        <v>65</v>
      </c>
      <c r="H375" s="17" t="s">
        <v>11</v>
      </c>
      <c r="I375" s="17">
        <v>1580</v>
      </c>
      <c r="J375" s="17">
        <v>718</v>
      </c>
      <c r="K375" s="18">
        <v>1134440</v>
      </c>
    </row>
    <row r="376" spans="1:11" x14ac:dyDescent="0.3">
      <c r="A376" s="17" t="s">
        <v>67</v>
      </c>
      <c r="B376" s="15" t="s">
        <v>170</v>
      </c>
      <c r="C376" s="16" t="s">
        <v>395</v>
      </c>
      <c r="D376" s="17" t="s">
        <v>72</v>
      </c>
      <c r="E376" s="17" t="s">
        <v>20</v>
      </c>
      <c r="F376" s="17" t="s">
        <v>110</v>
      </c>
      <c r="G376" s="17" t="s">
        <v>68</v>
      </c>
      <c r="H376" s="17" t="s">
        <v>11</v>
      </c>
      <c r="I376" s="17">
        <v>5627</v>
      </c>
      <c r="J376" s="17">
        <v>539</v>
      </c>
      <c r="K376" s="18">
        <v>3032953</v>
      </c>
    </row>
    <row r="377" spans="1:11" x14ac:dyDescent="0.3">
      <c r="A377" s="17" t="s">
        <v>67</v>
      </c>
      <c r="B377" s="15" t="s">
        <v>171</v>
      </c>
      <c r="C377" s="16" t="s">
        <v>395</v>
      </c>
      <c r="D377" s="17" t="s">
        <v>72</v>
      </c>
      <c r="E377" s="17" t="s">
        <v>9</v>
      </c>
      <c r="F377" s="17" t="s">
        <v>10</v>
      </c>
      <c r="G377" s="17" t="s">
        <v>10</v>
      </c>
      <c r="H377" s="17" t="s">
        <v>11</v>
      </c>
      <c r="I377" s="17">
        <v>3396</v>
      </c>
      <c r="J377" s="17">
        <v>865</v>
      </c>
      <c r="K377" s="18">
        <v>2937540</v>
      </c>
    </row>
    <row r="378" spans="1:11" x14ac:dyDescent="0.3">
      <c r="A378" s="17" t="s">
        <v>67</v>
      </c>
      <c r="B378" s="15" t="s">
        <v>172</v>
      </c>
      <c r="C378" s="16" t="s">
        <v>395</v>
      </c>
      <c r="D378" s="17" t="s">
        <v>72</v>
      </c>
      <c r="E378" s="17" t="s">
        <v>14</v>
      </c>
      <c r="F378" s="17" t="s">
        <v>15</v>
      </c>
      <c r="G378" s="17" t="s">
        <v>64</v>
      </c>
      <c r="H378" s="17" t="s">
        <v>33</v>
      </c>
      <c r="I378" s="17">
        <v>7609</v>
      </c>
      <c r="J378" s="17">
        <v>636</v>
      </c>
      <c r="K378" s="18">
        <v>4839324</v>
      </c>
    </row>
    <row r="379" spans="1:11" x14ac:dyDescent="0.3">
      <c r="A379" s="17" t="s">
        <v>67</v>
      </c>
      <c r="B379" s="15" t="s">
        <v>173</v>
      </c>
      <c r="C379" s="16" t="s">
        <v>395</v>
      </c>
      <c r="D379" s="17" t="s">
        <v>72</v>
      </c>
      <c r="E379" s="17" t="s">
        <v>17</v>
      </c>
      <c r="F379" s="17" t="s">
        <v>18</v>
      </c>
      <c r="G379" s="17" t="s">
        <v>65</v>
      </c>
      <c r="H379" s="17" t="s">
        <v>33</v>
      </c>
      <c r="I379" s="17">
        <v>2460</v>
      </c>
      <c r="J379" s="17">
        <v>571</v>
      </c>
      <c r="K379" s="18">
        <v>1404660</v>
      </c>
    </row>
    <row r="380" spans="1:11" x14ac:dyDescent="0.3">
      <c r="A380" s="17" t="s">
        <v>67</v>
      </c>
      <c r="B380" s="15" t="s">
        <v>175</v>
      </c>
      <c r="C380" s="16" t="s">
        <v>395</v>
      </c>
      <c r="D380" s="17" t="s">
        <v>82</v>
      </c>
      <c r="E380" s="17" t="s">
        <v>20</v>
      </c>
      <c r="F380" s="17" t="s">
        <v>21</v>
      </c>
      <c r="G380" s="17" t="s">
        <v>66</v>
      </c>
      <c r="H380" s="17" t="s">
        <v>33</v>
      </c>
      <c r="I380" s="17">
        <v>8048</v>
      </c>
      <c r="J380" s="17">
        <v>648</v>
      </c>
      <c r="K380" s="18">
        <v>5215104</v>
      </c>
    </row>
    <row r="381" spans="1:11" x14ac:dyDescent="0.3">
      <c r="A381" s="17" t="s">
        <v>67</v>
      </c>
      <c r="B381" s="15" t="s">
        <v>176</v>
      </c>
      <c r="C381" s="16" t="s">
        <v>395</v>
      </c>
      <c r="D381" s="17" t="s">
        <v>82</v>
      </c>
      <c r="E381" s="17" t="s">
        <v>20</v>
      </c>
      <c r="F381" s="17" t="s">
        <v>24</v>
      </c>
      <c r="G381" s="17" t="s">
        <v>68</v>
      </c>
      <c r="H381" s="17" t="s">
        <v>11</v>
      </c>
      <c r="I381" s="17">
        <v>6821</v>
      </c>
      <c r="J381" s="17">
        <v>871</v>
      </c>
      <c r="K381" s="18">
        <v>5941091</v>
      </c>
    </row>
    <row r="382" spans="1:11" x14ac:dyDescent="0.3">
      <c r="A382" s="17" t="s">
        <v>67</v>
      </c>
      <c r="B382" s="15" t="s">
        <v>177</v>
      </c>
      <c r="C382" s="16" t="s">
        <v>395</v>
      </c>
      <c r="D382" s="17" t="s">
        <v>82</v>
      </c>
      <c r="E382" s="17" t="s">
        <v>20</v>
      </c>
      <c r="F382" s="17" t="s">
        <v>26</v>
      </c>
      <c r="G382" s="17" t="s">
        <v>69</v>
      </c>
      <c r="H382" s="17" t="s">
        <v>11</v>
      </c>
      <c r="I382" s="17">
        <v>1898</v>
      </c>
      <c r="J382" s="17">
        <v>726</v>
      </c>
      <c r="K382" s="18">
        <v>1377948</v>
      </c>
    </row>
    <row r="383" spans="1:11" x14ac:dyDescent="0.3">
      <c r="A383" s="17" t="s">
        <v>67</v>
      </c>
      <c r="B383" s="15" t="s">
        <v>178</v>
      </c>
      <c r="C383" s="16" t="s">
        <v>395</v>
      </c>
      <c r="D383" s="17" t="s">
        <v>82</v>
      </c>
      <c r="E383" s="17" t="s">
        <v>14</v>
      </c>
      <c r="F383" s="17" t="s">
        <v>28</v>
      </c>
      <c r="G383" s="17" t="s">
        <v>70</v>
      </c>
      <c r="H383" s="17" t="s">
        <v>11</v>
      </c>
      <c r="I383" s="17">
        <v>8320</v>
      </c>
      <c r="J383" s="17">
        <v>701</v>
      </c>
      <c r="K383" s="18">
        <v>5832320</v>
      </c>
    </row>
    <row r="384" spans="1:11" x14ac:dyDescent="0.3">
      <c r="A384" s="17" t="s">
        <v>67</v>
      </c>
      <c r="B384" s="15" t="s">
        <v>179</v>
      </c>
      <c r="C384" s="16" t="s">
        <v>395</v>
      </c>
      <c r="D384" s="17" t="s">
        <v>82</v>
      </c>
      <c r="E384" s="17" t="s">
        <v>14</v>
      </c>
      <c r="F384" s="17" t="s">
        <v>30</v>
      </c>
      <c r="G384" s="17" t="s">
        <v>64</v>
      </c>
      <c r="H384" s="17" t="s">
        <v>11</v>
      </c>
      <c r="I384" s="17">
        <v>7085</v>
      </c>
      <c r="J384" s="17">
        <v>980</v>
      </c>
      <c r="K384" s="18">
        <v>6943300</v>
      </c>
    </row>
    <row r="385" spans="1:11" x14ac:dyDescent="0.3">
      <c r="A385" s="17" t="s">
        <v>67</v>
      </c>
      <c r="B385" s="15" t="s">
        <v>180</v>
      </c>
      <c r="C385" s="16" t="s">
        <v>395</v>
      </c>
      <c r="D385" s="17" t="s">
        <v>82</v>
      </c>
      <c r="E385" s="17" t="s">
        <v>9</v>
      </c>
      <c r="F385" s="17" t="s">
        <v>32</v>
      </c>
      <c r="G385" s="17" t="s">
        <v>93</v>
      </c>
      <c r="H385" s="17" t="s">
        <v>11</v>
      </c>
      <c r="I385" s="17">
        <v>7382</v>
      </c>
      <c r="J385" s="17">
        <v>866</v>
      </c>
      <c r="K385" s="18">
        <v>6392812</v>
      </c>
    </row>
    <row r="386" spans="1:11" x14ac:dyDescent="0.3">
      <c r="A386" s="17" t="s">
        <v>161</v>
      </c>
      <c r="B386" s="15" t="s">
        <v>181</v>
      </c>
      <c r="C386" s="16" t="s">
        <v>395</v>
      </c>
      <c r="D386" s="17" t="s">
        <v>182</v>
      </c>
      <c r="E386" s="17" t="s">
        <v>14</v>
      </c>
      <c r="F386" s="17" t="s">
        <v>35</v>
      </c>
      <c r="G386" s="17" t="s">
        <v>70</v>
      </c>
      <c r="H386" s="17" t="s">
        <v>33</v>
      </c>
      <c r="I386" s="17">
        <v>4636</v>
      </c>
      <c r="J386" s="17">
        <v>976</v>
      </c>
      <c r="K386" s="18">
        <v>4524736</v>
      </c>
    </row>
    <row r="387" spans="1:11" x14ac:dyDescent="0.3">
      <c r="A387" s="17" t="s">
        <v>161</v>
      </c>
      <c r="B387" s="15" t="s">
        <v>183</v>
      </c>
      <c r="C387" s="16" t="s">
        <v>395</v>
      </c>
      <c r="D387" s="17" t="s">
        <v>182</v>
      </c>
      <c r="E387" s="17" t="s">
        <v>9</v>
      </c>
      <c r="F387" s="17" t="s">
        <v>37</v>
      </c>
      <c r="G387" s="17" t="s">
        <v>84</v>
      </c>
      <c r="H387" s="17" t="s">
        <v>33</v>
      </c>
      <c r="I387" s="17">
        <v>2540</v>
      </c>
      <c r="J387" s="17">
        <v>735</v>
      </c>
      <c r="K387" s="18">
        <v>1866900</v>
      </c>
    </row>
    <row r="388" spans="1:11" x14ac:dyDescent="0.3">
      <c r="A388" s="17" t="s">
        <v>161</v>
      </c>
      <c r="B388" s="15" t="s">
        <v>184</v>
      </c>
      <c r="C388" s="16" t="s">
        <v>395</v>
      </c>
      <c r="D388" s="17" t="s">
        <v>182</v>
      </c>
      <c r="E388" s="17" t="s">
        <v>9</v>
      </c>
      <c r="F388" s="17" t="s">
        <v>39</v>
      </c>
      <c r="G388" s="17" t="s">
        <v>84</v>
      </c>
      <c r="H388" s="17" t="s">
        <v>33</v>
      </c>
      <c r="I388" s="17">
        <v>6995</v>
      </c>
      <c r="J388" s="17">
        <v>959</v>
      </c>
      <c r="K388" s="18">
        <v>6708205</v>
      </c>
    </row>
    <row r="389" spans="1:11" x14ac:dyDescent="0.3">
      <c r="A389" s="17" t="s">
        <v>161</v>
      </c>
      <c r="B389" s="15" t="s">
        <v>185</v>
      </c>
      <c r="C389" s="16" t="s">
        <v>395</v>
      </c>
      <c r="D389" s="17" t="s">
        <v>182</v>
      </c>
      <c r="E389" s="17" t="s">
        <v>14</v>
      </c>
      <c r="F389" s="17" t="s">
        <v>41</v>
      </c>
      <c r="G389" s="17" t="s">
        <v>64</v>
      </c>
      <c r="H389" s="17" t="s">
        <v>33</v>
      </c>
      <c r="I389" s="17">
        <v>8442</v>
      </c>
      <c r="J389" s="17">
        <v>618</v>
      </c>
      <c r="K389" s="18">
        <v>5217156</v>
      </c>
    </row>
    <row r="390" spans="1:11" x14ac:dyDescent="0.3">
      <c r="A390" s="17" t="s">
        <v>161</v>
      </c>
      <c r="B390" s="15" t="s">
        <v>186</v>
      </c>
      <c r="C390" s="16" t="s">
        <v>395</v>
      </c>
      <c r="D390" s="17" t="s">
        <v>182</v>
      </c>
      <c r="E390" s="17" t="s">
        <v>43</v>
      </c>
      <c r="F390" s="17" t="s">
        <v>44</v>
      </c>
      <c r="G390" s="17" t="s">
        <v>74</v>
      </c>
      <c r="H390" s="17" t="s">
        <v>33</v>
      </c>
      <c r="I390" s="17">
        <v>8766</v>
      </c>
      <c r="J390" s="17">
        <v>813</v>
      </c>
      <c r="K390" s="18">
        <v>7126758</v>
      </c>
    </row>
    <row r="391" spans="1:11" x14ac:dyDescent="0.3">
      <c r="A391" s="17" t="s">
        <v>161</v>
      </c>
      <c r="B391" s="15" t="s">
        <v>187</v>
      </c>
      <c r="C391" s="16" t="s">
        <v>395</v>
      </c>
      <c r="D391" s="17" t="s">
        <v>182</v>
      </c>
      <c r="E391" s="17" t="s">
        <v>14</v>
      </c>
      <c r="F391" s="17" t="s">
        <v>47</v>
      </c>
      <c r="G391" s="17" t="s">
        <v>64</v>
      </c>
      <c r="H391" s="17" t="s">
        <v>33</v>
      </c>
      <c r="I391" s="17">
        <v>2645</v>
      </c>
      <c r="J391" s="17">
        <v>513</v>
      </c>
      <c r="K391" s="18">
        <v>1356885</v>
      </c>
    </row>
    <row r="392" spans="1:11" x14ac:dyDescent="0.3">
      <c r="A392" s="17" t="s">
        <v>161</v>
      </c>
      <c r="B392" s="15" t="s">
        <v>188</v>
      </c>
      <c r="C392" s="16" t="s">
        <v>395</v>
      </c>
      <c r="D392" s="17" t="s">
        <v>182</v>
      </c>
      <c r="E392" s="17" t="s">
        <v>49</v>
      </c>
      <c r="F392" s="17" t="s">
        <v>50</v>
      </c>
      <c r="G392" s="17" t="s">
        <v>50</v>
      </c>
      <c r="H392" s="17" t="s">
        <v>33</v>
      </c>
      <c r="I392" s="17">
        <v>4794</v>
      </c>
      <c r="J392" s="17">
        <v>703</v>
      </c>
      <c r="K392" s="18">
        <v>3370182</v>
      </c>
    </row>
    <row r="393" spans="1:11" x14ac:dyDescent="0.3">
      <c r="A393" s="17" t="s">
        <v>161</v>
      </c>
      <c r="B393" s="15" t="s">
        <v>189</v>
      </c>
      <c r="C393" s="16" t="s">
        <v>395</v>
      </c>
      <c r="D393" s="17" t="s">
        <v>182</v>
      </c>
      <c r="E393" s="17" t="s">
        <v>43</v>
      </c>
      <c r="F393" s="17" t="s">
        <v>52</v>
      </c>
      <c r="G393" s="17" t="s">
        <v>74</v>
      </c>
      <c r="H393" s="17" t="s">
        <v>11</v>
      </c>
      <c r="I393" s="17">
        <v>4067</v>
      </c>
      <c r="J393" s="17">
        <v>710</v>
      </c>
      <c r="K393" s="18">
        <v>2887570</v>
      </c>
    </row>
    <row r="394" spans="1:11" x14ac:dyDescent="0.3">
      <c r="A394" s="17" t="s">
        <v>161</v>
      </c>
      <c r="B394" s="15" t="s">
        <v>190</v>
      </c>
      <c r="C394" s="16" t="s">
        <v>395</v>
      </c>
      <c r="D394" s="17" t="s">
        <v>182</v>
      </c>
      <c r="E394" s="17" t="s">
        <v>20</v>
      </c>
      <c r="F394" s="17" t="s">
        <v>54</v>
      </c>
      <c r="G394" s="17" t="s">
        <v>76</v>
      </c>
      <c r="H394" s="17" t="s">
        <v>11</v>
      </c>
      <c r="I394" s="17">
        <v>9519</v>
      </c>
      <c r="J394" s="17">
        <v>949</v>
      </c>
      <c r="K394" s="18">
        <v>9033531</v>
      </c>
    </row>
    <row r="395" spans="1:11" x14ac:dyDescent="0.3">
      <c r="A395" s="17" t="s">
        <v>161</v>
      </c>
      <c r="B395" s="15" t="s">
        <v>191</v>
      </c>
      <c r="C395" s="16" t="s">
        <v>395</v>
      </c>
      <c r="D395" s="17" t="s">
        <v>182</v>
      </c>
      <c r="E395" s="17" t="s">
        <v>17</v>
      </c>
      <c r="F395" s="17" t="s">
        <v>56</v>
      </c>
      <c r="G395" s="17" t="s">
        <v>78</v>
      </c>
      <c r="H395" s="17" t="s">
        <v>11</v>
      </c>
      <c r="I395" s="17">
        <v>7217</v>
      </c>
      <c r="J395" s="17">
        <v>935</v>
      </c>
      <c r="K395" s="18">
        <v>6747895</v>
      </c>
    </row>
    <row r="396" spans="1:11" x14ac:dyDescent="0.3">
      <c r="A396" s="17" t="s">
        <v>161</v>
      </c>
      <c r="B396" s="15" t="s">
        <v>192</v>
      </c>
      <c r="C396" s="16" t="s">
        <v>395</v>
      </c>
      <c r="D396" s="17" t="s">
        <v>182</v>
      </c>
      <c r="E396" s="17" t="s">
        <v>14</v>
      </c>
      <c r="F396" s="17" t="s">
        <v>80</v>
      </c>
      <c r="G396" s="17" t="s">
        <v>70</v>
      </c>
      <c r="H396" s="17" t="s">
        <v>11</v>
      </c>
      <c r="I396" s="17">
        <v>1885</v>
      </c>
      <c r="J396" s="17">
        <v>811</v>
      </c>
      <c r="K396" s="18">
        <v>1528735</v>
      </c>
    </row>
    <row r="397" spans="1:11" x14ac:dyDescent="0.3">
      <c r="A397" s="17" t="s">
        <v>161</v>
      </c>
      <c r="B397" s="15" t="s">
        <v>193</v>
      </c>
      <c r="C397" s="16" t="s">
        <v>395</v>
      </c>
      <c r="D397" s="17" t="s">
        <v>182</v>
      </c>
      <c r="E397" s="17" t="s">
        <v>9</v>
      </c>
      <c r="F397" s="17" t="s">
        <v>83</v>
      </c>
      <c r="G397" s="17" t="s">
        <v>84</v>
      </c>
      <c r="H397" s="17" t="s">
        <v>33</v>
      </c>
      <c r="I397" s="17">
        <v>8921</v>
      </c>
      <c r="J397" s="17">
        <v>593</v>
      </c>
      <c r="K397" s="18">
        <v>5290153</v>
      </c>
    </row>
    <row r="398" spans="1:11" x14ac:dyDescent="0.3">
      <c r="A398" s="17" t="s">
        <v>63</v>
      </c>
      <c r="B398" s="15" t="s">
        <v>194</v>
      </c>
      <c r="C398" s="16" t="s">
        <v>395</v>
      </c>
      <c r="D398" s="17" t="s">
        <v>103</v>
      </c>
      <c r="E398" s="17" t="s">
        <v>9</v>
      </c>
      <c r="F398" s="17" t="s">
        <v>86</v>
      </c>
      <c r="G398" s="17" t="s">
        <v>84</v>
      </c>
      <c r="H398" s="17" t="s">
        <v>11</v>
      </c>
      <c r="I398" s="17">
        <v>6596</v>
      </c>
      <c r="J398" s="17">
        <v>501</v>
      </c>
      <c r="K398" s="18">
        <v>3304596</v>
      </c>
    </row>
    <row r="399" spans="1:11" x14ac:dyDescent="0.3">
      <c r="A399" s="17" t="s">
        <v>63</v>
      </c>
      <c r="B399" s="15" t="s">
        <v>195</v>
      </c>
      <c r="C399" s="16" t="s">
        <v>395</v>
      </c>
      <c r="D399" s="17" t="s">
        <v>103</v>
      </c>
      <c r="E399" s="17" t="s">
        <v>20</v>
      </c>
      <c r="F399" s="17" t="s">
        <v>88</v>
      </c>
      <c r="G399" s="17" t="s">
        <v>66</v>
      </c>
      <c r="H399" s="17" t="s">
        <v>11</v>
      </c>
      <c r="I399" s="17">
        <v>3074</v>
      </c>
      <c r="J399" s="17">
        <v>869</v>
      </c>
      <c r="K399" s="18">
        <v>2671306</v>
      </c>
    </row>
    <row r="400" spans="1:11" x14ac:dyDescent="0.3">
      <c r="A400" s="17" t="s">
        <v>63</v>
      </c>
      <c r="B400" s="15" t="s">
        <v>196</v>
      </c>
      <c r="C400" s="16" t="s">
        <v>395</v>
      </c>
      <c r="D400" s="17" t="s">
        <v>103</v>
      </c>
      <c r="E400" s="17" t="s">
        <v>20</v>
      </c>
      <c r="F400" s="17" t="s">
        <v>90</v>
      </c>
      <c r="G400" s="17" t="s">
        <v>66</v>
      </c>
      <c r="H400" s="17" t="s">
        <v>11</v>
      </c>
      <c r="I400" s="17">
        <v>6116</v>
      </c>
      <c r="J400" s="17">
        <v>699</v>
      </c>
      <c r="K400" s="18">
        <v>4275084</v>
      </c>
    </row>
    <row r="401" spans="1:11" x14ac:dyDescent="0.3">
      <c r="A401" s="17" t="s">
        <v>63</v>
      </c>
      <c r="B401" s="15" t="s">
        <v>197</v>
      </c>
      <c r="C401" s="16" t="s">
        <v>395</v>
      </c>
      <c r="D401" s="17" t="s">
        <v>103</v>
      </c>
      <c r="E401" s="17" t="s">
        <v>9</v>
      </c>
      <c r="F401" s="17" t="s">
        <v>92</v>
      </c>
      <c r="G401" s="17" t="s">
        <v>93</v>
      </c>
      <c r="H401" s="17" t="s">
        <v>11</v>
      </c>
      <c r="I401" s="17">
        <v>5729</v>
      </c>
      <c r="J401" s="17">
        <v>753</v>
      </c>
      <c r="K401" s="18">
        <v>4313937</v>
      </c>
    </row>
    <row r="402" spans="1:11" x14ac:dyDescent="0.3">
      <c r="A402" s="17" t="s">
        <v>63</v>
      </c>
      <c r="B402" s="15" t="s">
        <v>198</v>
      </c>
      <c r="C402" s="16" t="s">
        <v>395</v>
      </c>
      <c r="D402" s="17" t="s">
        <v>103</v>
      </c>
      <c r="E402" s="17" t="s">
        <v>9</v>
      </c>
      <c r="F402" s="17" t="s">
        <v>95</v>
      </c>
      <c r="G402" s="17" t="s">
        <v>84</v>
      </c>
      <c r="H402" s="17" t="s">
        <v>33</v>
      </c>
      <c r="I402" s="17">
        <v>7181</v>
      </c>
      <c r="J402" s="17">
        <v>668</v>
      </c>
      <c r="K402" s="18">
        <v>4796908</v>
      </c>
    </row>
    <row r="403" spans="1:11" x14ac:dyDescent="0.3">
      <c r="A403" s="17" t="s">
        <v>63</v>
      </c>
      <c r="B403" s="15" t="s">
        <v>199</v>
      </c>
      <c r="C403" s="16" t="s">
        <v>395</v>
      </c>
      <c r="D403" s="17" t="s">
        <v>103</v>
      </c>
      <c r="E403" s="17" t="s">
        <v>17</v>
      </c>
      <c r="F403" s="17" t="s">
        <v>97</v>
      </c>
      <c r="G403" s="17" t="s">
        <v>98</v>
      </c>
      <c r="H403" s="17" t="s">
        <v>33</v>
      </c>
      <c r="I403" s="17">
        <v>9034</v>
      </c>
      <c r="J403" s="17">
        <v>730</v>
      </c>
      <c r="K403" s="18">
        <v>6594820</v>
      </c>
    </row>
    <row r="404" spans="1:11" x14ac:dyDescent="0.3">
      <c r="A404" s="17" t="s">
        <v>63</v>
      </c>
      <c r="B404" s="15" t="s">
        <v>200</v>
      </c>
      <c r="C404" s="16" t="s">
        <v>425</v>
      </c>
      <c r="D404" s="17" t="s">
        <v>103</v>
      </c>
      <c r="E404" s="17" t="s">
        <v>20</v>
      </c>
      <c r="F404" s="17" t="s">
        <v>134</v>
      </c>
      <c r="G404" s="17" t="s">
        <v>135</v>
      </c>
      <c r="H404" s="17" t="s">
        <v>33</v>
      </c>
      <c r="I404" s="17">
        <v>6005</v>
      </c>
      <c r="J404" s="17">
        <v>739</v>
      </c>
      <c r="K404" s="18">
        <v>4437695</v>
      </c>
    </row>
    <row r="405" spans="1:11" x14ac:dyDescent="0.3">
      <c r="A405" s="17" t="s">
        <v>63</v>
      </c>
      <c r="B405" s="15" t="s">
        <v>201</v>
      </c>
      <c r="C405" s="16" t="s">
        <v>425</v>
      </c>
      <c r="D405" s="17" t="s">
        <v>103</v>
      </c>
      <c r="E405" s="17" t="s">
        <v>14</v>
      </c>
      <c r="F405" s="17" t="s">
        <v>137</v>
      </c>
      <c r="G405" s="17" t="s">
        <v>64</v>
      </c>
      <c r="H405" s="17" t="s">
        <v>33</v>
      </c>
      <c r="I405" s="17">
        <v>5261</v>
      </c>
      <c r="J405" s="17">
        <v>626</v>
      </c>
      <c r="K405" s="18">
        <v>3293386</v>
      </c>
    </row>
    <row r="406" spans="1:11" x14ac:dyDescent="0.3">
      <c r="A406" s="17" t="s">
        <v>63</v>
      </c>
      <c r="B406" s="15" t="s">
        <v>202</v>
      </c>
      <c r="C406" s="16" t="s">
        <v>425</v>
      </c>
      <c r="D406" s="17" t="s">
        <v>103</v>
      </c>
      <c r="E406" s="17" t="s">
        <v>9</v>
      </c>
      <c r="F406" s="17" t="s">
        <v>139</v>
      </c>
      <c r="G406" s="17" t="s">
        <v>140</v>
      </c>
      <c r="H406" s="17" t="s">
        <v>33</v>
      </c>
      <c r="I406" s="17">
        <v>5989</v>
      </c>
      <c r="J406" s="17">
        <v>889</v>
      </c>
      <c r="K406" s="18">
        <v>5324221</v>
      </c>
    </row>
    <row r="407" spans="1:11" x14ac:dyDescent="0.3">
      <c r="A407" s="17" t="s">
        <v>63</v>
      </c>
      <c r="B407" s="15" t="s">
        <v>203</v>
      </c>
      <c r="C407" s="16" t="s">
        <v>425</v>
      </c>
      <c r="D407" s="17" t="s">
        <v>103</v>
      </c>
      <c r="E407" s="17" t="s">
        <v>9</v>
      </c>
      <c r="F407" s="17" t="s">
        <v>142</v>
      </c>
      <c r="G407" s="17" t="s">
        <v>143</v>
      </c>
      <c r="H407" s="17" t="s">
        <v>33</v>
      </c>
      <c r="I407" s="17">
        <v>6350</v>
      </c>
      <c r="J407" s="17">
        <v>615</v>
      </c>
      <c r="K407" s="18">
        <v>3905250</v>
      </c>
    </row>
    <row r="408" spans="1:11" x14ac:dyDescent="0.3">
      <c r="A408" s="17" t="s">
        <v>63</v>
      </c>
      <c r="B408" s="15" t="s">
        <v>204</v>
      </c>
      <c r="C408" s="16" t="s">
        <v>425</v>
      </c>
      <c r="D408" s="17" t="s">
        <v>103</v>
      </c>
      <c r="E408" s="17" t="s">
        <v>145</v>
      </c>
      <c r="F408" s="17" t="s">
        <v>146</v>
      </c>
      <c r="G408" s="17" t="s">
        <v>147</v>
      </c>
      <c r="H408" s="17" t="s">
        <v>33</v>
      </c>
      <c r="I408" s="17">
        <v>9014</v>
      </c>
      <c r="J408" s="17">
        <v>687</v>
      </c>
      <c r="K408" s="18">
        <v>6192618</v>
      </c>
    </row>
    <row r="409" spans="1:11" x14ac:dyDescent="0.3">
      <c r="A409" s="17" t="s">
        <v>67</v>
      </c>
      <c r="B409" s="15" t="s">
        <v>205</v>
      </c>
      <c r="C409" s="16" t="s">
        <v>425</v>
      </c>
      <c r="D409" s="17" t="s">
        <v>72</v>
      </c>
      <c r="E409" s="17" t="s">
        <v>9</v>
      </c>
      <c r="F409" s="17" t="s">
        <v>149</v>
      </c>
      <c r="G409" s="17" t="s">
        <v>150</v>
      </c>
      <c r="H409" s="17" t="s">
        <v>33</v>
      </c>
      <c r="I409" s="17">
        <v>9418</v>
      </c>
      <c r="J409" s="17">
        <v>558</v>
      </c>
      <c r="K409" s="18">
        <v>5255244</v>
      </c>
    </row>
    <row r="410" spans="1:11" x14ac:dyDescent="0.3">
      <c r="A410" s="17" t="s">
        <v>67</v>
      </c>
      <c r="B410" s="15" t="s">
        <v>206</v>
      </c>
      <c r="C410" s="16" t="s">
        <v>425</v>
      </c>
      <c r="D410" s="17" t="s">
        <v>72</v>
      </c>
      <c r="E410" s="17" t="s">
        <v>43</v>
      </c>
      <c r="F410" s="17" t="s">
        <v>152</v>
      </c>
      <c r="G410" s="17" t="s">
        <v>153</v>
      </c>
      <c r="H410" s="17" t="s">
        <v>33</v>
      </c>
      <c r="I410" s="17">
        <v>8665</v>
      </c>
      <c r="J410" s="17">
        <v>743</v>
      </c>
      <c r="K410" s="18">
        <v>6438095</v>
      </c>
    </row>
    <row r="411" spans="1:11" x14ac:dyDescent="0.3">
      <c r="A411" s="17" t="s">
        <v>67</v>
      </c>
      <c r="B411" s="15" t="s">
        <v>351</v>
      </c>
      <c r="C411" s="16" t="s">
        <v>425</v>
      </c>
      <c r="D411" s="17" t="s">
        <v>72</v>
      </c>
      <c r="E411" s="17" t="s">
        <v>43</v>
      </c>
      <c r="F411" s="17" t="s">
        <v>152</v>
      </c>
      <c r="G411" s="17" t="s">
        <v>153</v>
      </c>
      <c r="H411" s="17" t="s">
        <v>33</v>
      </c>
      <c r="I411" s="17">
        <v>6023</v>
      </c>
      <c r="J411" s="17">
        <v>707</v>
      </c>
      <c r="K411" s="18">
        <v>4258261</v>
      </c>
    </row>
    <row r="412" spans="1:11" x14ac:dyDescent="0.3">
      <c r="A412" s="17" t="s">
        <v>67</v>
      </c>
      <c r="B412" s="15" t="s">
        <v>352</v>
      </c>
      <c r="C412" s="16" t="s">
        <v>426</v>
      </c>
      <c r="D412" s="17" t="s">
        <v>72</v>
      </c>
      <c r="E412" s="17" t="s">
        <v>17</v>
      </c>
      <c r="F412" s="17" t="s">
        <v>155</v>
      </c>
      <c r="G412" s="17" t="s">
        <v>65</v>
      </c>
      <c r="H412" s="17" t="s">
        <v>33</v>
      </c>
      <c r="I412" s="17">
        <v>6681</v>
      </c>
      <c r="J412" s="17">
        <v>886</v>
      </c>
      <c r="K412" s="18">
        <v>5919366</v>
      </c>
    </row>
    <row r="413" spans="1:11" x14ac:dyDescent="0.3">
      <c r="A413" s="17" t="s">
        <v>67</v>
      </c>
      <c r="B413" s="15" t="s">
        <v>353</v>
      </c>
      <c r="C413" s="16" t="s">
        <v>426</v>
      </c>
      <c r="D413" s="17" t="s">
        <v>72</v>
      </c>
      <c r="E413" s="17" t="s">
        <v>14</v>
      </c>
      <c r="F413" s="17" t="s">
        <v>80</v>
      </c>
      <c r="G413" s="17" t="s">
        <v>70</v>
      </c>
      <c r="H413" s="17" t="s">
        <v>33</v>
      </c>
      <c r="I413" s="17">
        <v>8243</v>
      </c>
      <c r="J413" s="17">
        <v>630</v>
      </c>
      <c r="K413" s="18">
        <v>5193090</v>
      </c>
    </row>
    <row r="414" spans="1:11" x14ac:dyDescent="0.3">
      <c r="A414" s="17" t="s">
        <v>67</v>
      </c>
      <c r="B414" s="15" t="s">
        <v>354</v>
      </c>
      <c r="C414" s="16" t="s">
        <v>426</v>
      </c>
      <c r="D414" s="17" t="s">
        <v>72</v>
      </c>
      <c r="E414" s="17" t="s">
        <v>9</v>
      </c>
      <c r="F414" s="17" t="s">
        <v>83</v>
      </c>
      <c r="G414" s="17" t="s">
        <v>84</v>
      </c>
      <c r="H414" s="17" t="s">
        <v>33</v>
      </c>
      <c r="I414" s="17">
        <v>9739</v>
      </c>
      <c r="J414" s="17">
        <v>947</v>
      </c>
      <c r="K414" s="18">
        <v>9222833</v>
      </c>
    </row>
    <row r="415" spans="1:11" x14ac:dyDescent="0.3">
      <c r="A415" s="17" t="s">
        <v>67</v>
      </c>
      <c r="B415" s="15" t="s">
        <v>355</v>
      </c>
      <c r="C415" s="16" t="s">
        <v>426</v>
      </c>
      <c r="D415" s="17" t="s">
        <v>72</v>
      </c>
      <c r="E415" s="17" t="s">
        <v>9</v>
      </c>
      <c r="F415" s="17" t="s">
        <v>86</v>
      </c>
      <c r="G415" s="17" t="s">
        <v>84</v>
      </c>
      <c r="H415" s="17" t="s">
        <v>33</v>
      </c>
      <c r="I415" s="17">
        <v>1974</v>
      </c>
      <c r="J415" s="17">
        <v>575</v>
      </c>
      <c r="K415" s="18">
        <v>1135050</v>
      </c>
    </row>
    <row r="416" spans="1:11" x14ac:dyDescent="0.3">
      <c r="A416" s="17" t="s">
        <v>67</v>
      </c>
      <c r="B416" s="15" t="s">
        <v>356</v>
      </c>
      <c r="C416" s="16" t="s">
        <v>426</v>
      </c>
      <c r="D416" s="17" t="s">
        <v>72</v>
      </c>
      <c r="E416" s="17" t="s">
        <v>20</v>
      </c>
      <c r="F416" s="17" t="s">
        <v>88</v>
      </c>
      <c r="G416" s="17" t="s">
        <v>66</v>
      </c>
      <c r="H416" s="17" t="s">
        <v>33</v>
      </c>
      <c r="I416" s="17">
        <v>7991</v>
      </c>
      <c r="J416" s="17">
        <v>910</v>
      </c>
      <c r="K416" s="18">
        <v>7271810</v>
      </c>
    </row>
    <row r="417" spans="1:11" x14ac:dyDescent="0.3">
      <c r="A417" s="17" t="s">
        <v>67</v>
      </c>
      <c r="B417" s="15" t="s">
        <v>357</v>
      </c>
      <c r="C417" s="16" t="s">
        <v>426</v>
      </c>
      <c r="D417" s="17" t="s">
        <v>72</v>
      </c>
      <c r="E417" s="17" t="s">
        <v>20</v>
      </c>
      <c r="F417" s="17" t="s">
        <v>90</v>
      </c>
      <c r="G417" s="17" t="s">
        <v>66</v>
      </c>
      <c r="H417" s="17" t="s">
        <v>33</v>
      </c>
      <c r="I417" s="17">
        <v>1888</v>
      </c>
      <c r="J417" s="17">
        <v>682</v>
      </c>
      <c r="K417" s="18">
        <v>1287616</v>
      </c>
    </row>
    <row r="418" spans="1:11" x14ac:dyDescent="0.3">
      <c r="A418" s="17" t="s">
        <v>67</v>
      </c>
      <c r="B418" s="15" t="s">
        <v>359</v>
      </c>
      <c r="C418" s="16" t="s">
        <v>426</v>
      </c>
      <c r="D418" s="17" t="s">
        <v>72</v>
      </c>
      <c r="E418" s="17" t="s">
        <v>9</v>
      </c>
      <c r="F418" s="17" t="s">
        <v>92</v>
      </c>
      <c r="G418" s="17" t="s">
        <v>93</v>
      </c>
      <c r="H418" s="17" t="s">
        <v>33</v>
      </c>
      <c r="I418" s="17">
        <v>3251</v>
      </c>
      <c r="J418" s="17">
        <v>720</v>
      </c>
      <c r="K418" s="18">
        <v>2340720</v>
      </c>
    </row>
    <row r="419" spans="1:11" x14ac:dyDescent="0.3">
      <c r="A419" s="17" t="s">
        <v>67</v>
      </c>
      <c r="B419" s="15" t="s">
        <v>360</v>
      </c>
      <c r="C419" s="16" t="s">
        <v>426</v>
      </c>
      <c r="D419" s="17" t="s">
        <v>72</v>
      </c>
      <c r="E419" s="17" t="s">
        <v>9</v>
      </c>
      <c r="F419" s="17" t="s">
        <v>95</v>
      </c>
      <c r="G419" s="17" t="s">
        <v>84</v>
      </c>
      <c r="H419" s="17" t="s">
        <v>33</v>
      </c>
      <c r="I419" s="17">
        <v>7341</v>
      </c>
      <c r="J419" s="17">
        <v>848</v>
      </c>
      <c r="K419" s="18">
        <v>6225168</v>
      </c>
    </row>
    <row r="420" spans="1:11" x14ac:dyDescent="0.3">
      <c r="A420" s="17" t="s">
        <v>67</v>
      </c>
      <c r="B420" s="15" t="s">
        <v>361</v>
      </c>
      <c r="C420" s="16" t="s">
        <v>426</v>
      </c>
      <c r="D420" s="17" t="s">
        <v>72</v>
      </c>
      <c r="E420" s="17" t="s">
        <v>17</v>
      </c>
      <c r="F420" s="17" t="s">
        <v>97</v>
      </c>
      <c r="G420" s="17" t="s">
        <v>98</v>
      </c>
      <c r="H420" s="17" t="s">
        <v>33</v>
      </c>
      <c r="I420" s="17">
        <v>7168</v>
      </c>
      <c r="J420" s="17">
        <v>642</v>
      </c>
      <c r="K420" s="18">
        <v>4601856</v>
      </c>
    </row>
    <row r="421" spans="1:11" x14ac:dyDescent="0.3">
      <c r="A421" s="17" t="s">
        <v>67</v>
      </c>
      <c r="B421" s="15" t="s">
        <v>362</v>
      </c>
      <c r="C421" s="16" t="s">
        <v>426</v>
      </c>
      <c r="D421" s="17" t="s">
        <v>82</v>
      </c>
      <c r="E421" s="17" t="s">
        <v>20</v>
      </c>
      <c r="F421" s="17" t="s">
        <v>134</v>
      </c>
      <c r="G421" s="17" t="s">
        <v>135</v>
      </c>
      <c r="H421" s="17" t="s">
        <v>33</v>
      </c>
      <c r="I421" s="17">
        <v>8503</v>
      </c>
      <c r="J421" s="17">
        <v>591</v>
      </c>
      <c r="K421" s="18">
        <v>5025273</v>
      </c>
    </row>
    <row r="422" spans="1:11" x14ac:dyDescent="0.3">
      <c r="A422" s="17" t="s">
        <v>67</v>
      </c>
      <c r="B422" s="15" t="s">
        <v>363</v>
      </c>
      <c r="C422" s="16" t="s">
        <v>427</v>
      </c>
      <c r="D422" s="17" t="s">
        <v>82</v>
      </c>
      <c r="E422" s="17" t="s">
        <v>14</v>
      </c>
      <c r="F422" s="17" t="s">
        <v>137</v>
      </c>
      <c r="G422" s="17" t="s">
        <v>64</v>
      </c>
      <c r="H422" s="17" t="s">
        <v>33</v>
      </c>
      <c r="I422" s="17">
        <v>3099</v>
      </c>
      <c r="J422" s="17">
        <v>601</v>
      </c>
      <c r="K422" s="18">
        <v>1862499</v>
      </c>
    </row>
    <row r="423" spans="1:11" x14ac:dyDescent="0.3">
      <c r="A423" s="17" t="s">
        <v>67</v>
      </c>
      <c r="B423" s="15" t="s">
        <v>364</v>
      </c>
      <c r="C423" s="16" t="s">
        <v>427</v>
      </c>
      <c r="D423" s="17" t="s">
        <v>82</v>
      </c>
      <c r="E423" s="17" t="s">
        <v>9</v>
      </c>
      <c r="F423" s="17" t="s">
        <v>139</v>
      </c>
      <c r="G423" s="17" t="s">
        <v>140</v>
      </c>
      <c r="H423" s="17" t="s">
        <v>33</v>
      </c>
      <c r="I423" s="17">
        <v>2916</v>
      </c>
      <c r="J423" s="17">
        <v>767</v>
      </c>
      <c r="K423" s="18">
        <v>2236572</v>
      </c>
    </row>
    <row r="424" spans="1:11" x14ac:dyDescent="0.3">
      <c r="A424" s="17" t="s">
        <v>67</v>
      </c>
      <c r="B424" s="15" t="s">
        <v>365</v>
      </c>
      <c r="C424" s="16" t="s">
        <v>427</v>
      </c>
      <c r="D424" s="17" t="s">
        <v>82</v>
      </c>
      <c r="E424" s="17" t="s">
        <v>9</v>
      </c>
      <c r="F424" s="17" t="s">
        <v>142</v>
      </c>
      <c r="G424" s="17" t="s">
        <v>143</v>
      </c>
      <c r="H424" s="17" t="s">
        <v>33</v>
      </c>
      <c r="I424" s="17">
        <v>5674</v>
      </c>
      <c r="J424" s="17">
        <v>975</v>
      </c>
      <c r="K424" s="18">
        <v>5532150</v>
      </c>
    </row>
    <row r="425" spans="1:11" x14ac:dyDescent="0.3">
      <c r="A425" s="17" t="s">
        <v>67</v>
      </c>
      <c r="B425" s="15" t="s">
        <v>366</v>
      </c>
      <c r="C425" s="16" t="s">
        <v>427</v>
      </c>
      <c r="D425" s="17" t="s">
        <v>82</v>
      </c>
      <c r="E425" s="17" t="s">
        <v>145</v>
      </c>
      <c r="F425" s="17" t="s">
        <v>146</v>
      </c>
      <c r="G425" s="17" t="s">
        <v>147</v>
      </c>
      <c r="H425" s="17" t="s">
        <v>33</v>
      </c>
      <c r="I425" s="17">
        <v>4048</v>
      </c>
      <c r="J425" s="17">
        <v>713</v>
      </c>
      <c r="K425" s="18">
        <v>2886224</v>
      </c>
    </row>
    <row r="426" spans="1:11" x14ac:dyDescent="0.3">
      <c r="A426" s="17" t="s">
        <v>67</v>
      </c>
      <c r="B426" s="15" t="s">
        <v>367</v>
      </c>
      <c r="C426" s="16" t="s">
        <v>427</v>
      </c>
      <c r="D426" s="17" t="s">
        <v>82</v>
      </c>
      <c r="E426" s="17" t="s">
        <v>9</v>
      </c>
      <c r="F426" s="17" t="s">
        <v>149</v>
      </c>
      <c r="G426" s="17" t="s">
        <v>150</v>
      </c>
      <c r="H426" s="17" t="s">
        <v>11</v>
      </c>
      <c r="I426" s="17">
        <v>1663</v>
      </c>
      <c r="J426" s="17">
        <v>659</v>
      </c>
      <c r="K426" s="18">
        <v>1095917</v>
      </c>
    </row>
    <row r="427" spans="1:11" x14ac:dyDescent="0.3">
      <c r="A427" s="17" t="s">
        <v>67</v>
      </c>
      <c r="B427" s="15" t="s">
        <v>368</v>
      </c>
      <c r="C427" s="16" t="s">
        <v>427</v>
      </c>
      <c r="D427" s="17" t="s">
        <v>82</v>
      </c>
      <c r="E427" s="17" t="s">
        <v>43</v>
      </c>
      <c r="F427" s="17" t="s">
        <v>152</v>
      </c>
      <c r="G427" s="17" t="s">
        <v>153</v>
      </c>
      <c r="H427" s="17" t="s">
        <v>11</v>
      </c>
      <c r="I427" s="17">
        <v>9541</v>
      </c>
      <c r="J427" s="17">
        <v>984</v>
      </c>
      <c r="K427" s="18">
        <v>9388344</v>
      </c>
    </row>
    <row r="428" spans="1:11" x14ac:dyDescent="0.3">
      <c r="A428" s="17" t="s">
        <v>67</v>
      </c>
      <c r="B428" s="15" t="s">
        <v>369</v>
      </c>
      <c r="C428" s="16" t="s">
        <v>427</v>
      </c>
      <c r="D428" s="17" t="s">
        <v>82</v>
      </c>
      <c r="E428" s="17" t="s">
        <v>17</v>
      </c>
      <c r="F428" s="17" t="s">
        <v>155</v>
      </c>
      <c r="G428" s="17" t="s">
        <v>65</v>
      </c>
      <c r="H428" s="17" t="s">
        <v>11</v>
      </c>
      <c r="I428" s="17">
        <v>3649</v>
      </c>
      <c r="J428" s="17">
        <v>503</v>
      </c>
      <c r="K428" s="18">
        <v>1835447</v>
      </c>
    </row>
    <row r="429" spans="1:11" x14ac:dyDescent="0.3">
      <c r="A429" s="17" t="s">
        <v>67</v>
      </c>
      <c r="B429" s="15" t="s">
        <v>370</v>
      </c>
      <c r="C429" s="16" t="s">
        <v>427</v>
      </c>
      <c r="D429" s="17" t="s">
        <v>82</v>
      </c>
      <c r="E429" s="17" t="s">
        <v>17</v>
      </c>
      <c r="F429" s="17" t="s">
        <v>18</v>
      </c>
      <c r="G429" s="17" t="s">
        <v>65</v>
      </c>
      <c r="H429" s="17" t="s">
        <v>11</v>
      </c>
      <c r="I429" s="17">
        <v>1737</v>
      </c>
      <c r="J429" s="17">
        <v>571</v>
      </c>
      <c r="K429" s="18">
        <v>991827</v>
      </c>
    </row>
    <row r="430" spans="1:11" x14ac:dyDescent="0.3">
      <c r="A430" s="17" t="s">
        <v>67</v>
      </c>
      <c r="B430" s="15" t="s">
        <v>371</v>
      </c>
      <c r="C430" s="16" t="s">
        <v>427</v>
      </c>
      <c r="D430" s="17" t="s">
        <v>82</v>
      </c>
      <c r="E430" s="17" t="s">
        <v>43</v>
      </c>
      <c r="F430" s="17" t="s">
        <v>104</v>
      </c>
      <c r="G430" s="17" t="s">
        <v>74</v>
      </c>
      <c r="H430" s="17" t="s">
        <v>11</v>
      </c>
      <c r="I430" s="17">
        <v>7995</v>
      </c>
      <c r="J430" s="17">
        <v>910</v>
      </c>
      <c r="K430" s="18">
        <v>7275450</v>
      </c>
    </row>
    <row r="431" spans="1:11" x14ac:dyDescent="0.3">
      <c r="A431" s="17" t="s">
        <v>67</v>
      </c>
      <c r="B431" s="15" t="s">
        <v>372</v>
      </c>
      <c r="C431" s="16" t="s">
        <v>427</v>
      </c>
      <c r="D431" s="17" t="s">
        <v>82</v>
      </c>
      <c r="E431" s="17" t="s">
        <v>17</v>
      </c>
      <c r="F431" s="17" t="s">
        <v>106</v>
      </c>
      <c r="G431" s="17" t="s">
        <v>98</v>
      </c>
      <c r="H431" s="17" t="s">
        <v>33</v>
      </c>
      <c r="I431" s="17">
        <v>5228</v>
      </c>
      <c r="J431" s="17">
        <v>781</v>
      </c>
      <c r="K431" s="18">
        <v>4083068</v>
      </c>
    </row>
    <row r="432" spans="1:11" x14ac:dyDescent="0.3">
      <c r="A432" s="17" t="s">
        <v>161</v>
      </c>
      <c r="B432" s="15" t="s">
        <v>373</v>
      </c>
      <c r="C432" s="16" t="s">
        <v>427</v>
      </c>
      <c r="D432" s="17" t="s">
        <v>162</v>
      </c>
      <c r="E432" s="17" t="s">
        <v>17</v>
      </c>
      <c r="F432" s="17" t="s">
        <v>108</v>
      </c>
      <c r="G432" s="17" t="s">
        <v>65</v>
      </c>
      <c r="H432" s="17" t="s">
        <v>33</v>
      </c>
      <c r="I432" s="17">
        <v>7710</v>
      </c>
      <c r="J432" s="17">
        <v>954</v>
      </c>
      <c r="K432" s="18">
        <v>7355340</v>
      </c>
    </row>
    <row r="433" spans="1:11" x14ac:dyDescent="0.3">
      <c r="A433" s="17" t="s">
        <v>161</v>
      </c>
      <c r="B433" s="15" t="s">
        <v>374</v>
      </c>
      <c r="C433" s="16" t="s">
        <v>427</v>
      </c>
      <c r="D433" s="17" t="s">
        <v>162</v>
      </c>
      <c r="E433" s="17" t="s">
        <v>20</v>
      </c>
      <c r="F433" s="17" t="s">
        <v>110</v>
      </c>
      <c r="G433" s="17" t="s">
        <v>68</v>
      </c>
      <c r="H433" s="17" t="s">
        <v>33</v>
      </c>
      <c r="I433" s="17">
        <v>3333</v>
      </c>
      <c r="J433" s="17">
        <v>945</v>
      </c>
      <c r="K433" s="18">
        <v>3149685</v>
      </c>
    </row>
    <row r="434" spans="1:11" x14ac:dyDescent="0.3">
      <c r="A434" s="17" t="s">
        <v>161</v>
      </c>
      <c r="B434" s="15" t="s">
        <v>375</v>
      </c>
      <c r="C434" s="16" t="s">
        <v>427</v>
      </c>
      <c r="D434" s="17" t="s">
        <v>162</v>
      </c>
      <c r="E434" s="17" t="s">
        <v>9</v>
      </c>
      <c r="F434" s="17" t="s">
        <v>10</v>
      </c>
      <c r="G434" s="17" t="s">
        <v>10</v>
      </c>
      <c r="H434" s="17" t="s">
        <v>33</v>
      </c>
      <c r="I434" s="17">
        <v>9277</v>
      </c>
      <c r="J434" s="17">
        <v>839</v>
      </c>
      <c r="K434" s="18">
        <v>7783403</v>
      </c>
    </row>
    <row r="435" spans="1:11" x14ac:dyDescent="0.3">
      <c r="A435" s="17" t="s">
        <v>161</v>
      </c>
      <c r="B435" s="15" t="s">
        <v>376</v>
      </c>
      <c r="C435" s="16" t="s">
        <v>427</v>
      </c>
      <c r="D435" s="17" t="s">
        <v>162</v>
      </c>
      <c r="E435" s="17" t="s">
        <v>14</v>
      </c>
      <c r="F435" s="17" t="s">
        <v>15</v>
      </c>
      <c r="G435" s="17" t="s">
        <v>64</v>
      </c>
      <c r="H435" s="17" t="s">
        <v>33</v>
      </c>
      <c r="I435" s="17">
        <v>4277</v>
      </c>
      <c r="J435" s="17">
        <v>857</v>
      </c>
      <c r="K435" s="18">
        <v>3665389</v>
      </c>
    </row>
    <row r="436" spans="1:11" x14ac:dyDescent="0.3">
      <c r="A436" s="17" t="s">
        <v>161</v>
      </c>
      <c r="B436" s="15" t="s">
        <v>377</v>
      </c>
      <c r="C436" s="16" t="s">
        <v>427</v>
      </c>
      <c r="D436" s="17" t="s">
        <v>162</v>
      </c>
      <c r="E436" s="17" t="s">
        <v>9</v>
      </c>
      <c r="F436" s="17" t="s">
        <v>149</v>
      </c>
      <c r="G436" s="17" t="s">
        <v>150</v>
      </c>
      <c r="H436" s="17" t="s">
        <v>33</v>
      </c>
      <c r="I436" s="17">
        <v>1696</v>
      </c>
      <c r="J436" s="17">
        <v>868</v>
      </c>
      <c r="K436" s="18">
        <v>1472128</v>
      </c>
    </row>
    <row r="437" spans="1:11" ht="15" thickBot="1" x14ac:dyDescent="0.35">
      <c r="A437" s="20" t="s">
        <v>161</v>
      </c>
      <c r="B437" s="19" t="s">
        <v>378</v>
      </c>
      <c r="C437" s="16" t="s">
        <v>427</v>
      </c>
      <c r="D437" s="20" t="s">
        <v>162</v>
      </c>
      <c r="E437" s="20" t="s">
        <v>43</v>
      </c>
      <c r="F437" s="20" t="s">
        <v>152</v>
      </c>
      <c r="G437" s="20" t="s">
        <v>153</v>
      </c>
      <c r="H437" s="20" t="s">
        <v>33</v>
      </c>
      <c r="I437" s="20">
        <v>7071</v>
      </c>
      <c r="J437" s="20">
        <v>778</v>
      </c>
      <c r="K437" s="21">
        <v>5501238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4EC12-7688-49C8-8D75-03C7E19C6A7B}">
  <sheetPr codeName="Sheet4"/>
  <dimension ref="A1:G10"/>
  <sheetViews>
    <sheetView workbookViewId="0">
      <selection activeCell="G17" sqref="G17"/>
    </sheetView>
  </sheetViews>
  <sheetFormatPr defaultRowHeight="14.4" x14ac:dyDescent="0.3"/>
  <cols>
    <col min="1" max="1" width="29.21875" bestFit="1" customWidth="1"/>
    <col min="2" max="2" width="18.21875" bestFit="1" customWidth="1"/>
    <col min="3" max="3" width="19.21875" bestFit="1" customWidth="1"/>
    <col min="4" max="4" width="29.44140625" bestFit="1" customWidth="1"/>
    <col min="5" max="5" width="23.33203125" bestFit="1" customWidth="1"/>
    <col min="6" max="6" width="17" bestFit="1" customWidth="1"/>
    <col min="7" max="7" width="10.44140625" bestFit="1" customWidth="1"/>
  </cols>
  <sheetData>
    <row r="1" spans="1:7" ht="21" x14ac:dyDescent="0.3">
      <c r="A1" s="22" t="s">
        <v>1</v>
      </c>
      <c r="B1" s="22" t="s">
        <v>58</v>
      </c>
      <c r="C1" s="22" t="s">
        <v>2</v>
      </c>
      <c r="D1" s="22" t="s">
        <v>3</v>
      </c>
      <c r="E1" s="22" t="s">
        <v>4</v>
      </c>
      <c r="F1" s="22" t="s">
        <v>59</v>
      </c>
      <c r="G1" s="22" t="s">
        <v>5</v>
      </c>
    </row>
    <row r="2" spans="1:7" ht="21" x14ac:dyDescent="0.4">
      <c r="A2" s="23" t="s">
        <v>29</v>
      </c>
      <c r="B2" s="24" t="str">
        <f>_xlfn.XLOOKUP(A2,Data!B1:B437,Data!A1:A437)</f>
        <v xml:space="preserve">Fashion </v>
      </c>
      <c r="C2" s="24" t="str">
        <f>_xlfn.XLOOKUP(A2,Data!B1:B437,Data!D1:D437)</f>
        <v>Women dress</v>
      </c>
      <c r="D2" s="24" t="str">
        <f>_xlfn.XLOOKUP(A$2,Data!$B$2:$B$437,Data!E2:E437)</f>
        <v>West</v>
      </c>
      <c r="E2" s="24"/>
      <c r="F2" s="24"/>
      <c r="G2" s="24"/>
    </row>
    <row r="3" spans="1:7" ht="21" x14ac:dyDescent="0.4">
      <c r="A3" s="23" t="s">
        <v>175</v>
      </c>
      <c r="B3" s="24" t="str">
        <f>_xlfn.XLOOKUP(A3,Data!B2:B438,Data!A2:A438)</f>
        <v xml:space="preserve">Fashion </v>
      </c>
      <c r="C3" s="24" t="str">
        <f>_xlfn.XLOOKUP(A3,Data!B2:B438,Data!D2:D438)</f>
        <v>Suit</v>
      </c>
      <c r="D3" s="24" t="str">
        <f>_xlfn.XLOOKUP(A$2,Data!$B$2:$B$437,Data!E3:E438)</f>
        <v>North</v>
      </c>
      <c r="E3" s="24"/>
      <c r="F3" s="24"/>
      <c r="G3" s="24"/>
    </row>
    <row r="4" spans="1:7" ht="21" x14ac:dyDescent="0.4">
      <c r="A4" s="23" t="s">
        <v>268</v>
      </c>
      <c r="B4" s="24" t="str">
        <f>_xlfn.XLOOKUP(A4,Data!B3:B439,Data!A3:A439)</f>
        <v xml:space="preserve">Fashion </v>
      </c>
      <c r="C4" s="24" t="str">
        <f>_xlfn.XLOOKUP(A4,Data!B3:B439,Data!D3:D439)</f>
        <v>Suit</v>
      </c>
      <c r="D4" s="24" t="str">
        <f>_xlfn.XLOOKUP(A$2,Data!$B$2:$B$437,Data!E4:E439)</f>
        <v>West</v>
      </c>
      <c r="E4" s="24"/>
      <c r="F4" s="24"/>
      <c r="G4" s="24"/>
    </row>
    <row r="5" spans="1:7" ht="21" x14ac:dyDescent="0.4">
      <c r="A5" s="23" t="s">
        <v>204</v>
      </c>
      <c r="B5" s="24" t="str">
        <f>_xlfn.XLOOKUP(A5,Data!B4:B440,Data!A4:A440)</f>
        <v>Electronic</v>
      </c>
      <c r="C5" s="24" t="str">
        <f>_xlfn.XLOOKUP(A5,Data!B4:B440,Data!D4:D440)</f>
        <v>Laptop</v>
      </c>
      <c r="D5" s="24" t="str">
        <f>_xlfn.XLOOKUP(A$2,Data!$B$2:$B$437,Data!E5:E440)</f>
        <v>North</v>
      </c>
      <c r="E5" s="24"/>
      <c r="F5" s="24"/>
      <c r="G5" s="24"/>
    </row>
    <row r="6" spans="1:7" ht="21" x14ac:dyDescent="0.4">
      <c r="A6" s="23" t="s">
        <v>415</v>
      </c>
      <c r="B6" s="24" t="str">
        <f>_xlfn.XLOOKUP(A6,Data!B5:B441,Data!A5:A441)</f>
        <v xml:space="preserve">Fashion </v>
      </c>
      <c r="C6" s="24" t="str">
        <f>_xlfn.XLOOKUP(A6,Data!B5:B441,Data!D5:D441)</f>
        <v>Saree</v>
      </c>
      <c r="D6" s="24" t="str">
        <f>_xlfn.XLOOKUP(A$2,Data!$B$2:$B$437,Data!E6:E441)</f>
        <v>North</v>
      </c>
      <c r="E6" s="24"/>
      <c r="F6" s="24"/>
      <c r="G6" s="24"/>
    </row>
    <row r="7" spans="1:7" ht="21" x14ac:dyDescent="0.4">
      <c r="A7" s="23" t="s">
        <v>402</v>
      </c>
      <c r="B7" s="24" t="str">
        <f>_xlfn.XLOOKUP(A7,Data!B6:B442,Data!A6:A442)</f>
        <v>Electronic</v>
      </c>
      <c r="C7" s="24" t="str">
        <f>_xlfn.XLOOKUP(A7,Data!B6:B442,Data!D6:D442)</f>
        <v>Laptop</v>
      </c>
      <c r="D7" s="24" t="str">
        <f>_xlfn.XLOOKUP(A$2,Data!$B$2:$B$437,Data!E7:E442)</f>
        <v>West</v>
      </c>
      <c r="E7" s="24"/>
      <c r="F7" s="24"/>
      <c r="G7" s="24"/>
    </row>
    <row r="8" spans="1:7" ht="21" x14ac:dyDescent="0.4">
      <c r="A8" s="23" t="s">
        <v>77</v>
      </c>
      <c r="B8" s="24" t="str">
        <f>_xlfn.XLOOKUP(A8,Data!B7:B443,Data!A7:A443)</f>
        <v xml:space="preserve">Fashion </v>
      </c>
      <c r="C8" s="24" t="str">
        <f>_xlfn.XLOOKUP(A8,Data!B7:B443,Data!D7:D443)</f>
        <v>Saree</v>
      </c>
      <c r="D8" s="24" t="str">
        <f>_xlfn.XLOOKUP(A$2,Data!$B$2:$B$437,Data!E8:E443)</f>
        <v>Central</v>
      </c>
      <c r="E8" s="24"/>
      <c r="F8" s="24"/>
      <c r="G8" s="24"/>
    </row>
    <row r="9" spans="1:7" ht="21" x14ac:dyDescent="0.4">
      <c r="A9" s="23" t="s">
        <v>159</v>
      </c>
      <c r="B9" s="24" t="str">
        <f>_xlfn.XLOOKUP(A9,Data!B8:B444,Data!A8:A444)</f>
        <v xml:space="preserve">Fashion </v>
      </c>
      <c r="C9" s="24" t="str">
        <f>_xlfn.XLOOKUP(A9,Data!B8:B444,Data!D8:D444)</f>
        <v>Suit</v>
      </c>
      <c r="D9" s="24" t="str">
        <f>_xlfn.XLOOKUP(A$2,Data!$B$2:$B$437,Data!E9:E444)</f>
        <v>West</v>
      </c>
      <c r="E9" s="24"/>
      <c r="F9" s="24"/>
      <c r="G9" s="24"/>
    </row>
    <row r="10" spans="1:7" ht="21" x14ac:dyDescent="0.4">
      <c r="A10" s="23" t="s">
        <v>79</v>
      </c>
      <c r="B10" s="24" t="str">
        <f>_xlfn.XLOOKUP(A10,Data!B9:B445,Data!A9:A445)</f>
        <v xml:space="preserve">Fashion </v>
      </c>
      <c r="C10" s="24" t="str">
        <f>_xlfn.XLOOKUP(A10,Data!B9:B445,Data!D9:D445)</f>
        <v>Saree</v>
      </c>
      <c r="D10" s="24" t="str">
        <f>_xlfn.XLOOKUP(A$2,Data!$B$2:$B$437,Data!E10:E445)</f>
        <v>North (Union Territory)</v>
      </c>
      <c r="E10" s="24"/>
      <c r="F10" s="24"/>
      <c r="G10" s="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5E042-EECB-4EE5-AD11-C7483DF6BD89}">
  <sheetPr codeName="Sheet5"/>
  <dimension ref="A1:F4"/>
  <sheetViews>
    <sheetView workbookViewId="0">
      <selection activeCell="G19" sqref="G19"/>
    </sheetView>
  </sheetViews>
  <sheetFormatPr defaultRowHeight="14.4" x14ac:dyDescent="0.3"/>
  <cols>
    <col min="1" max="1" width="6.88671875" bestFit="1" customWidth="1"/>
    <col min="2" max="2" width="9" bestFit="1" customWidth="1"/>
    <col min="3" max="3" width="9.88671875" bestFit="1" customWidth="1"/>
    <col min="4" max="4" width="10.5546875" bestFit="1" customWidth="1"/>
    <col min="5" max="5" width="11.33203125" bestFit="1" customWidth="1"/>
    <col min="6" max="6" width="15.44140625" bestFit="1" customWidth="1"/>
  </cols>
  <sheetData>
    <row r="1" spans="1:6" x14ac:dyDescent="0.3">
      <c r="A1" t="s">
        <v>428</v>
      </c>
      <c r="B1" t="s">
        <v>3</v>
      </c>
      <c r="C1" t="s">
        <v>429</v>
      </c>
      <c r="D1" t="s">
        <v>60</v>
      </c>
      <c r="E1" t="s">
        <v>430</v>
      </c>
      <c r="F1" t="s">
        <v>431</v>
      </c>
    </row>
    <row r="2" spans="1:6" x14ac:dyDescent="0.3">
      <c r="A2">
        <v>1</v>
      </c>
      <c r="B2" t="s">
        <v>9</v>
      </c>
      <c r="C2" t="s">
        <v>432</v>
      </c>
      <c r="D2">
        <v>34</v>
      </c>
      <c r="E2">
        <v>10</v>
      </c>
      <c r="F2" s="28">
        <v>45717</v>
      </c>
    </row>
    <row r="3" spans="1:6" x14ac:dyDescent="0.3">
      <c r="A3">
        <v>2</v>
      </c>
      <c r="B3" t="s">
        <v>17</v>
      </c>
      <c r="C3" t="s">
        <v>433</v>
      </c>
      <c r="D3">
        <v>434</v>
      </c>
      <c r="E3">
        <v>23</v>
      </c>
      <c r="F3" s="28">
        <v>45770</v>
      </c>
    </row>
    <row r="4" spans="1:6" x14ac:dyDescent="0.3">
      <c r="A4">
        <v>3</v>
      </c>
      <c r="B4" t="s">
        <v>20</v>
      </c>
      <c r="C4" t="s">
        <v>434</v>
      </c>
      <c r="D4">
        <v>32</v>
      </c>
      <c r="E4">
        <v>45</v>
      </c>
      <c r="F4" s="28">
        <v>45739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429DB-E554-4244-839B-2F35FB381D68}">
  <sheetPr codeName="Sheet6"/>
  <dimension ref="A1:F4"/>
  <sheetViews>
    <sheetView workbookViewId="0">
      <selection activeCell="K13" sqref="K13"/>
    </sheetView>
  </sheetViews>
  <sheetFormatPr defaultRowHeight="14.4" x14ac:dyDescent="0.3"/>
  <cols>
    <col min="3" max="3" width="9.5546875" customWidth="1"/>
    <col min="4" max="4" width="10.21875" customWidth="1"/>
    <col min="5" max="5" width="11" customWidth="1"/>
    <col min="6" max="6" width="11.44140625" customWidth="1"/>
  </cols>
  <sheetData>
    <row r="1" spans="1:6" x14ac:dyDescent="0.3">
      <c r="A1" s="26" t="s">
        <v>428</v>
      </c>
      <c r="B1" s="27" t="s">
        <v>3</v>
      </c>
      <c r="C1" s="27" t="s">
        <v>429</v>
      </c>
      <c r="D1" s="27" t="s">
        <v>60</v>
      </c>
      <c r="E1" s="27" t="s">
        <v>430</v>
      </c>
      <c r="F1" s="27" t="s">
        <v>431</v>
      </c>
    </row>
    <row r="2" spans="1:6" x14ac:dyDescent="0.3">
      <c r="A2">
        <v>1</v>
      </c>
      <c r="B2" t="s">
        <v>9</v>
      </c>
      <c r="C2" t="s">
        <v>432</v>
      </c>
      <c r="D2">
        <v>34</v>
      </c>
      <c r="E2">
        <v>10</v>
      </c>
      <c r="F2" s="25">
        <v>45717</v>
      </c>
    </row>
    <row r="3" spans="1:6" x14ac:dyDescent="0.3">
      <c r="A3">
        <v>2</v>
      </c>
      <c r="B3" t="s">
        <v>17</v>
      </c>
      <c r="C3" t="s">
        <v>433</v>
      </c>
      <c r="D3">
        <v>434</v>
      </c>
      <c r="E3">
        <v>23</v>
      </c>
      <c r="F3" s="25">
        <v>45770</v>
      </c>
    </row>
    <row r="4" spans="1:6" x14ac:dyDescent="0.3">
      <c r="A4">
        <v>3</v>
      </c>
      <c r="B4" t="s">
        <v>20</v>
      </c>
      <c r="C4" t="s">
        <v>434</v>
      </c>
      <c r="D4">
        <v>32</v>
      </c>
      <c r="E4">
        <v>45</v>
      </c>
      <c r="F4" s="25">
        <v>45739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3277-94A6-4D99-822C-6986C8B21440}">
  <sheetPr codeName="Sheet7"/>
  <dimension ref="A1:F5"/>
  <sheetViews>
    <sheetView workbookViewId="0"/>
  </sheetViews>
  <sheetFormatPr defaultRowHeight="14.4" x14ac:dyDescent="0.3"/>
  <cols>
    <col min="1" max="6" width="10.77734375" bestFit="1" customWidth="1"/>
  </cols>
  <sheetData>
    <row r="1" spans="1:6" x14ac:dyDescent="0.3">
      <c r="A1" t="s">
        <v>441</v>
      </c>
      <c r="B1" t="s">
        <v>442</v>
      </c>
      <c r="C1" t="s">
        <v>443</v>
      </c>
      <c r="D1" t="s">
        <v>444</v>
      </c>
      <c r="E1" t="s">
        <v>445</v>
      </c>
      <c r="F1" t="s">
        <v>446</v>
      </c>
    </row>
    <row r="2" spans="1:6" x14ac:dyDescent="0.3">
      <c r="A2" t="s">
        <v>428</v>
      </c>
      <c r="B2" t="s">
        <v>3</v>
      </c>
      <c r="C2" t="s">
        <v>429</v>
      </c>
      <c r="D2" t="s">
        <v>60</v>
      </c>
      <c r="E2" t="s">
        <v>430</v>
      </c>
      <c r="F2" t="s">
        <v>431</v>
      </c>
    </row>
    <row r="3" spans="1:6" x14ac:dyDescent="0.3">
      <c r="A3">
        <v>4</v>
      </c>
      <c r="B3" t="s">
        <v>435</v>
      </c>
      <c r="C3" t="s">
        <v>437</v>
      </c>
      <c r="D3">
        <v>2</v>
      </c>
      <c r="E3">
        <v>24000</v>
      </c>
      <c r="F3">
        <v>46144</v>
      </c>
    </row>
    <row r="4" spans="1:6" x14ac:dyDescent="0.3">
      <c r="A4">
        <v>5</v>
      </c>
      <c r="B4" t="s">
        <v>436</v>
      </c>
      <c r="C4" t="s">
        <v>432</v>
      </c>
      <c r="D4">
        <v>23</v>
      </c>
      <c r="E4">
        <v>230</v>
      </c>
      <c r="F4">
        <v>46165</v>
      </c>
    </row>
    <row r="5" spans="1:6" x14ac:dyDescent="0.3">
      <c r="A5">
        <v>6</v>
      </c>
      <c r="B5" t="s">
        <v>17</v>
      </c>
      <c r="C5" t="s">
        <v>434</v>
      </c>
      <c r="D5">
        <v>233</v>
      </c>
      <c r="E5">
        <v>2300</v>
      </c>
      <c r="F5">
        <v>42250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98A70-40FC-4C33-9572-A09FE913780E}">
  <sheetPr codeName="Sheet8"/>
  <dimension ref="A1:F5"/>
  <sheetViews>
    <sheetView workbookViewId="0">
      <selection activeCell="K14" sqref="K14"/>
    </sheetView>
  </sheetViews>
  <sheetFormatPr defaultRowHeight="14.4" x14ac:dyDescent="0.3"/>
  <cols>
    <col min="1" max="6" width="10.44140625" customWidth="1"/>
  </cols>
  <sheetData>
    <row r="1" spans="1:6" x14ac:dyDescent="0.3">
      <c r="A1" s="26" t="s">
        <v>441</v>
      </c>
      <c r="B1" s="27" t="s">
        <v>442</v>
      </c>
      <c r="C1" s="27" t="s">
        <v>443</v>
      </c>
      <c r="D1" s="27" t="s">
        <v>444</v>
      </c>
      <c r="E1" s="27" t="s">
        <v>445</v>
      </c>
      <c r="F1" s="27" t="s">
        <v>446</v>
      </c>
    </row>
    <row r="2" spans="1:6" x14ac:dyDescent="0.3">
      <c r="A2" s="26" t="s">
        <v>428</v>
      </c>
      <c r="B2" s="27" t="s">
        <v>3</v>
      </c>
      <c r="C2" s="27" t="s">
        <v>429</v>
      </c>
      <c r="D2" s="27" t="s">
        <v>60</v>
      </c>
      <c r="E2" s="27" t="s">
        <v>430</v>
      </c>
      <c r="F2" s="27" t="s">
        <v>431</v>
      </c>
    </row>
    <row r="3" spans="1:6" x14ac:dyDescent="0.3">
      <c r="A3">
        <v>4</v>
      </c>
      <c r="B3" t="s">
        <v>435</v>
      </c>
      <c r="C3" t="s">
        <v>437</v>
      </c>
      <c r="D3">
        <v>2</v>
      </c>
      <c r="E3">
        <v>24000</v>
      </c>
      <c r="F3" s="25">
        <v>46144</v>
      </c>
    </row>
    <row r="4" spans="1:6" x14ac:dyDescent="0.3">
      <c r="A4">
        <v>5</v>
      </c>
      <c r="B4" t="s">
        <v>436</v>
      </c>
      <c r="C4" t="s">
        <v>432</v>
      </c>
      <c r="D4">
        <v>23</v>
      </c>
      <c r="E4">
        <v>230</v>
      </c>
      <c r="F4" s="25">
        <v>46165</v>
      </c>
    </row>
    <row r="5" spans="1:6" x14ac:dyDescent="0.3">
      <c r="A5">
        <v>6</v>
      </c>
      <c r="B5" t="s">
        <v>17</v>
      </c>
      <c r="C5" t="s">
        <v>434</v>
      </c>
      <c r="D5">
        <v>233</v>
      </c>
      <c r="E5">
        <v>2300</v>
      </c>
      <c r="F5" s="25">
        <v>42250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57B60-E6A4-4D87-A42E-C0F3B761401A}">
  <sheetPr codeName="Sheet9"/>
  <dimension ref="A1:P11"/>
  <sheetViews>
    <sheetView workbookViewId="0">
      <selection activeCell="F16" sqref="F16"/>
    </sheetView>
  </sheetViews>
  <sheetFormatPr defaultRowHeight="14.4" x14ac:dyDescent="0.3"/>
  <cols>
    <col min="1" max="1" width="6.88671875" bestFit="1" customWidth="1"/>
    <col min="2" max="2" width="9" bestFit="1" customWidth="1"/>
    <col min="3" max="3" width="9.88671875" bestFit="1" customWidth="1"/>
    <col min="4" max="4" width="10.5546875" bestFit="1" customWidth="1"/>
    <col min="5" max="5" width="11.33203125" bestFit="1" customWidth="1"/>
    <col min="6" max="6" width="15.44140625" bestFit="1" customWidth="1"/>
    <col min="7" max="12" width="10.77734375" bestFit="1" customWidth="1"/>
  </cols>
  <sheetData>
    <row r="1" spans="1:16" x14ac:dyDescent="0.3">
      <c r="A1" t="s">
        <v>428</v>
      </c>
      <c r="B1" t="s">
        <v>3</v>
      </c>
      <c r="C1" t="s">
        <v>429</v>
      </c>
      <c r="D1" t="s">
        <v>60</v>
      </c>
      <c r="E1" t="s">
        <v>430</v>
      </c>
      <c r="F1" t="s">
        <v>431</v>
      </c>
      <c r="G1" t="s">
        <v>441</v>
      </c>
      <c r="H1" t="s">
        <v>442</v>
      </c>
      <c r="I1" t="s">
        <v>443</v>
      </c>
      <c r="J1" t="s">
        <v>444</v>
      </c>
      <c r="K1" t="s">
        <v>445</v>
      </c>
      <c r="L1" t="s">
        <v>446</v>
      </c>
    </row>
    <row r="2" spans="1:16" x14ac:dyDescent="0.3">
      <c r="A2">
        <v>1</v>
      </c>
      <c r="B2" t="s">
        <v>9</v>
      </c>
      <c r="C2" t="s">
        <v>432</v>
      </c>
      <c r="D2">
        <v>34</v>
      </c>
      <c r="E2">
        <v>10</v>
      </c>
      <c r="F2" s="28">
        <v>45717</v>
      </c>
    </row>
    <row r="3" spans="1:16" x14ac:dyDescent="0.3">
      <c r="A3">
        <v>2</v>
      </c>
      <c r="B3" t="s">
        <v>17</v>
      </c>
      <c r="C3" t="s">
        <v>433</v>
      </c>
      <c r="D3">
        <v>434</v>
      </c>
      <c r="E3">
        <v>23</v>
      </c>
      <c r="F3" s="28">
        <v>45770</v>
      </c>
    </row>
    <row r="4" spans="1:16" x14ac:dyDescent="0.3">
      <c r="A4">
        <v>3</v>
      </c>
      <c r="B4" t="s">
        <v>20</v>
      </c>
      <c r="C4" t="s">
        <v>434</v>
      </c>
      <c r="D4">
        <v>32</v>
      </c>
      <c r="E4">
        <v>45</v>
      </c>
      <c r="F4" s="28">
        <v>45739</v>
      </c>
    </row>
    <row r="5" spans="1:16" x14ac:dyDescent="0.3">
      <c r="B5" t="s">
        <v>447</v>
      </c>
      <c r="F5" s="28"/>
      <c r="G5" t="s">
        <v>428</v>
      </c>
      <c r="H5" t="s">
        <v>3</v>
      </c>
      <c r="I5" t="s">
        <v>429</v>
      </c>
      <c r="J5" t="s">
        <v>60</v>
      </c>
      <c r="K5" t="s">
        <v>430</v>
      </c>
      <c r="L5" t="s">
        <v>431</v>
      </c>
    </row>
    <row r="6" spans="1:16" x14ac:dyDescent="0.3">
      <c r="B6" t="s">
        <v>447</v>
      </c>
      <c r="F6" s="28"/>
      <c r="G6">
        <v>4</v>
      </c>
      <c r="H6" t="s">
        <v>435</v>
      </c>
      <c r="I6" t="s">
        <v>437</v>
      </c>
      <c r="J6">
        <v>2</v>
      </c>
      <c r="K6">
        <v>24000</v>
      </c>
      <c r="L6">
        <v>46144</v>
      </c>
    </row>
    <row r="7" spans="1:16" x14ac:dyDescent="0.3">
      <c r="B7" t="s">
        <v>447</v>
      </c>
      <c r="F7" s="28"/>
      <c r="G7">
        <v>5</v>
      </c>
      <c r="H7" t="s">
        <v>436</v>
      </c>
      <c r="I7" t="s">
        <v>432</v>
      </c>
      <c r="J7">
        <v>23</v>
      </c>
      <c r="K7">
        <v>230</v>
      </c>
      <c r="L7">
        <v>46165</v>
      </c>
    </row>
    <row r="8" spans="1:16" x14ac:dyDescent="0.3">
      <c r="B8" t="s">
        <v>447</v>
      </c>
      <c r="F8" s="28"/>
      <c r="G8">
        <v>6</v>
      </c>
      <c r="H8" t="s">
        <v>17</v>
      </c>
      <c r="I8" t="s">
        <v>434</v>
      </c>
      <c r="J8">
        <v>233</v>
      </c>
      <c r="K8">
        <v>2300</v>
      </c>
      <c r="L8">
        <v>42250</v>
      </c>
    </row>
    <row r="9" spans="1:16" x14ac:dyDescent="0.3">
      <c r="A9">
        <v>7</v>
      </c>
      <c r="B9" t="s">
        <v>9</v>
      </c>
      <c r="C9" t="s">
        <v>438</v>
      </c>
      <c r="D9">
        <v>21</v>
      </c>
      <c r="E9">
        <v>24000</v>
      </c>
      <c r="F9" s="28">
        <v>42796</v>
      </c>
    </row>
    <row r="10" spans="1:16" x14ac:dyDescent="0.3">
      <c r="A10">
        <v>8</v>
      </c>
      <c r="B10" t="s">
        <v>9</v>
      </c>
      <c r="C10" t="s">
        <v>439</v>
      </c>
      <c r="D10">
        <v>2</v>
      </c>
      <c r="E10">
        <v>24000</v>
      </c>
      <c r="F10" s="28">
        <v>46165</v>
      </c>
      <c r="P10" s="29"/>
    </row>
    <row r="11" spans="1:16" x14ac:dyDescent="0.3">
      <c r="A11">
        <v>9</v>
      </c>
      <c r="B11" t="s">
        <v>17</v>
      </c>
      <c r="C11" t="s">
        <v>440</v>
      </c>
      <c r="D11">
        <v>130</v>
      </c>
      <c r="E11">
        <v>2300</v>
      </c>
      <c r="F11" s="28">
        <v>42250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F8C95-6448-4D79-8372-3E354BEA0DF2}">
  <sheetPr codeName="Sheet10"/>
  <dimension ref="A1:K14"/>
  <sheetViews>
    <sheetView workbookViewId="0">
      <selection activeCell="M10" sqref="M10"/>
    </sheetView>
  </sheetViews>
  <sheetFormatPr defaultRowHeight="14.4" x14ac:dyDescent="0.3"/>
  <cols>
    <col min="11" max="11" width="11" bestFit="1" customWidth="1"/>
  </cols>
  <sheetData>
    <row r="1" spans="1:11" x14ac:dyDescent="0.3">
      <c r="A1" t="s">
        <v>448</v>
      </c>
    </row>
    <row r="4" spans="1:11" x14ac:dyDescent="0.3">
      <c r="I4" t="s">
        <v>449</v>
      </c>
    </row>
    <row r="5" spans="1:11" x14ac:dyDescent="0.3">
      <c r="I5" t="s">
        <v>449</v>
      </c>
      <c r="K5">
        <v>1212334455</v>
      </c>
    </row>
    <row r="6" spans="1:11" x14ac:dyDescent="0.3">
      <c r="I6" t="s">
        <v>449</v>
      </c>
    </row>
    <row r="7" spans="1:11" x14ac:dyDescent="0.3">
      <c r="I7" t="s">
        <v>449</v>
      </c>
    </row>
    <row r="8" spans="1:11" x14ac:dyDescent="0.3">
      <c r="I8" t="s">
        <v>449</v>
      </c>
    </row>
    <row r="9" spans="1:11" x14ac:dyDescent="0.3">
      <c r="I9" t="s">
        <v>449</v>
      </c>
    </row>
    <row r="10" spans="1:11" x14ac:dyDescent="0.3">
      <c r="I10" t="s">
        <v>449</v>
      </c>
    </row>
    <row r="11" spans="1:11" x14ac:dyDescent="0.3">
      <c r="I11" t="s">
        <v>449</v>
      </c>
    </row>
    <row r="12" spans="1:11" x14ac:dyDescent="0.3">
      <c r="I12" t="s">
        <v>449</v>
      </c>
    </row>
    <row r="13" spans="1:11" x14ac:dyDescent="0.3">
      <c r="I13" t="s">
        <v>449</v>
      </c>
    </row>
    <row r="14" spans="1:11" x14ac:dyDescent="0.3">
      <c r="I14" t="s">
        <v>449</v>
      </c>
    </row>
  </sheetData>
  <dataValidations count="5">
    <dataValidation type="list" allowBlank="1" showInputMessage="1" showErrorMessage="1" sqref="A1" xr:uid="{02ED40FD-36A8-4939-AB15-C909B2A19D9B}">
      <formula1>"online ofline"</formula1>
    </dataValidation>
    <dataValidation type="list" allowBlank="1" showInputMessage="1" showErrorMessage="1" sqref="I4:I14" xr:uid="{CF0CEDCC-C2EF-4A2E-90CD-D1162FCF1F5F}">
      <formula1>"onlin. offline"</formula1>
    </dataValidation>
    <dataValidation type="date" allowBlank="1" showInputMessage="1" showErrorMessage="1" sqref="L16" xr:uid="{D2B427CF-5477-43DC-BE59-D37CB2D76C7D}">
      <formula1>45748</formula1>
      <formula2>45770</formula2>
    </dataValidation>
    <dataValidation type="textLength" allowBlank="1" showInputMessage="1" showErrorMessage="1" sqref="K5" xr:uid="{4ABC543F-0F0B-4CDA-86D6-2147E9BBF8AC}">
      <formula1>10</formula1>
      <formula2>10</formula2>
    </dataValidation>
    <dataValidation allowBlank="1" showInputMessage="1" showErrorMessage="1" error="dont" sqref="O8" xr:uid="{B8B8B16A-ECCD-4614-A25A-BB0980B54696}"/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DE951-8122-4E9F-B085-D3C30E78F3BA}">
  <sheetPr codeName="Sheet11"/>
  <dimension ref="A8:M116"/>
  <sheetViews>
    <sheetView topLeftCell="A12" workbookViewId="0">
      <selection activeCell="G11" sqref="G11"/>
    </sheetView>
  </sheetViews>
  <sheetFormatPr defaultRowHeight="14.4" x14ac:dyDescent="0.3"/>
  <sheetData>
    <row r="8" spans="1:13" x14ac:dyDescent="0.3">
      <c r="K8">
        <v>17</v>
      </c>
      <c r="L8">
        <v>100</v>
      </c>
      <c r="M8">
        <f>K8*L8</f>
        <v>1700</v>
      </c>
    </row>
    <row r="14" spans="1:13" x14ac:dyDescent="0.3">
      <c r="A14" s="30" t="s">
        <v>450</v>
      </c>
      <c r="B14" s="30" t="s">
        <v>451</v>
      </c>
      <c r="C14" s="30" t="s">
        <v>60</v>
      </c>
      <c r="D14" s="30" t="s">
        <v>61</v>
      </c>
      <c r="E14" s="30" t="s">
        <v>6</v>
      </c>
    </row>
    <row r="15" spans="1:13" x14ac:dyDescent="0.3">
      <c r="A15">
        <v>1</v>
      </c>
      <c r="E15">
        <f>C15*D15</f>
        <v>0</v>
      </c>
    </row>
    <row r="16" spans="1:13" x14ac:dyDescent="0.3">
      <c r="A16">
        <v>2</v>
      </c>
      <c r="E16">
        <f t="shared" ref="E16:E79" si="0">C16*D16</f>
        <v>0</v>
      </c>
    </row>
    <row r="17" spans="1:8" x14ac:dyDescent="0.3">
      <c r="A17">
        <v>3</v>
      </c>
      <c r="E17">
        <f t="shared" si="0"/>
        <v>0</v>
      </c>
    </row>
    <row r="18" spans="1:8" x14ac:dyDescent="0.3">
      <c r="A18">
        <v>4</v>
      </c>
      <c r="E18">
        <f t="shared" si="0"/>
        <v>0</v>
      </c>
    </row>
    <row r="19" spans="1:8" x14ac:dyDescent="0.3">
      <c r="A19">
        <v>5</v>
      </c>
      <c r="E19">
        <f t="shared" si="0"/>
        <v>0</v>
      </c>
    </row>
    <row r="20" spans="1:8" x14ac:dyDescent="0.3">
      <c r="A20">
        <v>6</v>
      </c>
      <c r="E20">
        <f t="shared" si="0"/>
        <v>0</v>
      </c>
    </row>
    <row r="21" spans="1:8" x14ac:dyDescent="0.3">
      <c r="A21">
        <v>7</v>
      </c>
      <c r="E21">
        <f t="shared" si="0"/>
        <v>0</v>
      </c>
    </row>
    <row r="22" spans="1:8" x14ac:dyDescent="0.3">
      <c r="A22">
        <v>8</v>
      </c>
      <c r="E22">
        <f t="shared" si="0"/>
        <v>0</v>
      </c>
      <c r="H22" t="s">
        <v>453</v>
      </c>
    </row>
    <row r="23" spans="1:8" x14ac:dyDescent="0.3">
      <c r="A23">
        <v>9</v>
      </c>
      <c r="E23">
        <f t="shared" si="0"/>
        <v>0</v>
      </c>
    </row>
    <row r="24" spans="1:8" x14ac:dyDescent="0.3">
      <c r="A24">
        <v>10</v>
      </c>
      <c r="E24">
        <f t="shared" si="0"/>
        <v>0</v>
      </c>
    </row>
    <row r="25" spans="1:8" x14ac:dyDescent="0.3">
      <c r="A25">
        <v>11</v>
      </c>
      <c r="E25">
        <f t="shared" si="0"/>
        <v>0</v>
      </c>
    </row>
    <row r="26" spans="1:8" x14ac:dyDescent="0.3">
      <c r="A26">
        <v>12</v>
      </c>
      <c r="E26">
        <f t="shared" si="0"/>
        <v>0</v>
      </c>
    </row>
    <row r="27" spans="1:8" x14ac:dyDescent="0.3">
      <c r="A27">
        <v>13</v>
      </c>
      <c r="E27">
        <f t="shared" si="0"/>
        <v>0</v>
      </c>
    </row>
    <row r="28" spans="1:8" x14ac:dyDescent="0.3">
      <c r="A28">
        <v>14</v>
      </c>
      <c r="E28">
        <f t="shared" si="0"/>
        <v>0</v>
      </c>
    </row>
    <row r="29" spans="1:8" x14ac:dyDescent="0.3">
      <c r="A29">
        <v>15</v>
      </c>
      <c r="E29">
        <f t="shared" si="0"/>
        <v>0</v>
      </c>
    </row>
    <row r="30" spans="1:8" x14ac:dyDescent="0.3">
      <c r="A30">
        <v>16</v>
      </c>
      <c r="E30">
        <f t="shared" si="0"/>
        <v>0</v>
      </c>
    </row>
    <row r="31" spans="1:8" x14ac:dyDescent="0.3">
      <c r="A31">
        <v>17</v>
      </c>
      <c r="E31">
        <f t="shared" si="0"/>
        <v>0</v>
      </c>
    </row>
    <row r="32" spans="1:8" x14ac:dyDescent="0.3">
      <c r="A32">
        <v>18</v>
      </c>
      <c r="E32">
        <f t="shared" si="0"/>
        <v>0</v>
      </c>
    </row>
    <row r="33" spans="1:5" x14ac:dyDescent="0.3">
      <c r="A33">
        <v>19</v>
      </c>
      <c r="E33">
        <f t="shared" si="0"/>
        <v>0</v>
      </c>
    </row>
    <row r="34" spans="1:5" x14ac:dyDescent="0.3">
      <c r="A34">
        <v>20</v>
      </c>
      <c r="E34">
        <f t="shared" si="0"/>
        <v>0</v>
      </c>
    </row>
    <row r="35" spans="1:5" x14ac:dyDescent="0.3">
      <c r="A35">
        <v>21</v>
      </c>
      <c r="E35">
        <f t="shared" si="0"/>
        <v>0</v>
      </c>
    </row>
    <row r="36" spans="1:5" x14ac:dyDescent="0.3">
      <c r="A36">
        <v>22</v>
      </c>
      <c r="E36">
        <f t="shared" si="0"/>
        <v>0</v>
      </c>
    </row>
    <row r="37" spans="1:5" x14ac:dyDescent="0.3">
      <c r="A37">
        <v>23</v>
      </c>
      <c r="E37">
        <f t="shared" si="0"/>
        <v>0</v>
      </c>
    </row>
    <row r="38" spans="1:5" x14ac:dyDescent="0.3">
      <c r="A38">
        <v>24</v>
      </c>
      <c r="E38">
        <f t="shared" si="0"/>
        <v>0</v>
      </c>
    </row>
    <row r="39" spans="1:5" x14ac:dyDescent="0.3">
      <c r="A39">
        <v>25</v>
      </c>
      <c r="E39">
        <f t="shared" si="0"/>
        <v>0</v>
      </c>
    </row>
    <row r="40" spans="1:5" x14ac:dyDescent="0.3">
      <c r="A40">
        <v>26</v>
      </c>
      <c r="E40">
        <f t="shared" si="0"/>
        <v>0</v>
      </c>
    </row>
    <row r="41" spans="1:5" x14ac:dyDescent="0.3">
      <c r="A41">
        <v>27</v>
      </c>
      <c r="E41">
        <f t="shared" si="0"/>
        <v>0</v>
      </c>
    </row>
    <row r="42" spans="1:5" x14ac:dyDescent="0.3">
      <c r="A42">
        <v>28</v>
      </c>
      <c r="E42">
        <f t="shared" si="0"/>
        <v>0</v>
      </c>
    </row>
    <row r="43" spans="1:5" x14ac:dyDescent="0.3">
      <c r="A43">
        <v>29</v>
      </c>
      <c r="E43">
        <f t="shared" si="0"/>
        <v>0</v>
      </c>
    </row>
    <row r="44" spans="1:5" x14ac:dyDescent="0.3">
      <c r="A44">
        <v>30</v>
      </c>
      <c r="E44">
        <f t="shared" si="0"/>
        <v>0</v>
      </c>
    </row>
    <row r="45" spans="1:5" x14ac:dyDescent="0.3">
      <c r="A45">
        <v>31</v>
      </c>
      <c r="E45">
        <f t="shared" si="0"/>
        <v>0</v>
      </c>
    </row>
    <row r="46" spans="1:5" x14ac:dyDescent="0.3">
      <c r="A46">
        <v>32</v>
      </c>
      <c r="E46">
        <f t="shared" si="0"/>
        <v>0</v>
      </c>
    </row>
    <row r="47" spans="1:5" x14ac:dyDescent="0.3">
      <c r="A47">
        <v>33</v>
      </c>
      <c r="E47">
        <f t="shared" si="0"/>
        <v>0</v>
      </c>
    </row>
    <row r="48" spans="1:5" x14ac:dyDescent="0.3">
      <c r="A48">
        <v>34</v>
      </c>
      <c r="E48">
        <f t="shared" si="0"/>
        <v>0</v>
      </c>
    </row>
    <row r="49" spans="1:5" x14ac:dyDescent="0.3">
      <c r="A49">
        <v>35</v>
      </c>
      <c r="E49">
        <f t="shared" si="0"/>
        <v>0</v>
      </c>
    </row>
    <row r="50" spans="1:5" x14ac:dyDescent="0.3">
      <c r="A50">
        <v>36</v>
      </c>
      <c r="E50">
        <f t="shared" si="0"/>
        <v>0</v>
      </c>
    </row>
    <row r="51" spans="1:5" x14ac:dyDescent="0.3">
      <c r="A51">
        <v>37</v>
      </c>
      <c r="E51">
        <f t="shared" si="0"/>
        <v>0</v>
      </c>
    </row>
    <row r="52" spans="1:5" x14ac:dyDescent="0.3">
      <c r="A52">
        <v>38</v>
      </c>
      <c r="E52">
        <f t="shared" si="0"/>
        <v>0</v>
      </c>
    </row>
    <row r="53" spans="1:5" x14ac:dyDescent="0.3">
      <c r="A53">
        <v>39</v>
      </c>
      <c r="E53">
        <f t="shared" si="0"/>
        <v>0</v>
      </c>
    </row>
    <row r="54" spans="1:5" x14ac:dyDescent="0.3">
      <c r="A54">
        <v>40</v>
      </c>
      <c r="E54">
        <f t="shared" si="0"/>
        <v>0</v>
      </c>
    </row>
    <row r="55" spans="1:5" x14ac:dyDescent="0.3">
      <c r="A55">
        <v>41</v>
      </c>
      <c r="E55">
        <f t="shared" si="0"/>
        <v>0</v>
      </c>
    </row>
    <row r="56" spans="1:5" x14ac:dyDescent="0.3">
      <c r="A56">
        <v>42</v>
      </c>
      <c r="E56">
        <f t="shared" si="0"/>
        <v>0</v>
      </c>
    </row>
    <row r="57" spans="1:5" x14ac:dyDescent="0.3">
      <c r="A57">
        <v>43</v>
      </c>
      <c r="E57">
        <f t="shared" si="0"/>
        <v>0</v>
      </c>
    </row>
    <row r="58" spans="1:5" x14ac:dyDescent="0.3">
      <c r="A58">
        <v>44</v>
      </c>
      <c r="E58">
        <f t="shared" si="0"/>
        <v>0</v>
      </c>
    </row>
    <row r="59" spans="1:5" x14ac:dyDescent="0.3">
      <c r="A59">
        <v>45</v>
      </c>
      <c r="E59">
        <f t="shared" si="0"/>
        <v>0</v>
      </c>
    </row>
    <row r="60" spans="1:5" x14ac:dyDescent="0.3">
      <c r="A60">
        <v>46</v>
      </c>
      <c r="E60">
        <f t="shared" si="0"/>
        <v>0</v>
      </c>
    </row>
    <row r="61" spans="1:5" x14ac:dyDescent="0.3">
      <c r="A61">
        <v>47</v>
      </c>
      <c r="E61">
        <f t="shared" si="0"/>
        <v>0</v>
      </c>
    </row>
    <row r="62" spans="1:5" x14ac:dyDescent="0.3">
      <c r="A62">
        <v>48</v>
      </c>
      <c r="E62">
        <f t="shared" si="0"/>
        <v>0</v>
      </c>
    </row>
    <row r="63" spans="1:5" x14ac:dyDescent="0.3">
      <c r="A63">
        <v>49</v>
      </c>
      <c r="E63">
        <f t="shared" si="0"/>
        <v>0</v>
      </c>
    </row>
    <row r="64" spans="1:5" x14ac:dyDescent="0.3">
      <c r="A64">
        <v>50</v>
      </c>
      <c r="E64">
        <f t="shared" si="0"/>
        <v>0</v>
      </c>
    </row>
    <row r="65" spans="1:5" x14ac:dyDescent="0.3">
      <c r="A65">
        <v>51</v>
      </c>
      <c r="E65">
        <f t="shared" si="0"/>
        <v>0</v>
      </c>
    </row>
    <row r="66" spans="1:5" x14ac:dyDescent="0.3">
      <c r="A66">
        <v>52</v>
      </c>
      <c r="E66">
        <f t="shared" si="0"/>
        <v>0</v>
      </c>
    </row>
    <row r="67" spans="1:5" x14ac:dyDescent="0.3">
      <c r="A67">
        <v>53</v>
      </c>
      <c r="E67">
        <f t="shared" si="0"/>
        <v>0</v>
      </c>
    </row>
    <row r="68" spans="1:5" x14ac:dyDescent="0.3">
      <c r="A68">
        <v>54</v>
      </c>
      <c r="E68">
        <f t="shared" si="0"/>
        <v>0</v>
      </c>
    </row>
    <row r="69" spans="1:5" x14ac:dyDescent="0.3">
      <c r="A69">
        <v>55</v>
      </c>
      <c r="E69">
        <f t="shared" si="0"/>
        <v>0</v>
      </c>
    </row>
    <row r="70" spans="1:5" x14ac:dyDescent="0.3">
      <c r="A70">
        <v>56</v>
      </c>
      <c r="E70">
        <f t="shared" si="0"/>
        <v>0</v>
      </c>
    </row>
    <row r="71" spans="1:5" x14ac:dyDescent="0.3">
      <c r="A71">
        <v>57</v>
      </c>
      <c r="E71">
        <f t="shared" si="0"/>
        <v>0</v>
      </c>
    </row>
    <row r="72" spans="1:5" x14ac:dyDescent="0.3">
      <c r="A72">
        <v>58</v>
      </c>
      <c r="E72">
        <f t="shared" si="0"/>
        <v>0</v>
      </c>
    </row>
    <row r="73" spans="1:5" x14ac:dyDescent="0.3">
      <c r="A73">
        <v>59</v>
      </c>
      <c r="E73">
        <f t="shared" si="0"/>
        <v>0</v>
      </c>
    </row>
    <row r="74" spans="1:5" x14ac:dyDescent="0.3">
      <c r="A74">
        <v>60</v>
      </c>
      <c r="E74">
        <f t="shared" si="0"/>
        <v>0</v>
      </c>
    </row>
    <row r="75" spans="1:5" x14ac:dyDescent="0.3">
      <c r="A75">
        <v>61</v>
      </c>
      <c r="E75">
        <f t="shared" si="0"/>
        <v>0</v>
      </c>
    </row>
    <row r="76" spans="1:5" x14ac:dyDescent="0.3">
      <c r="A76">
        <v>62</v>
      </c>
      <c r="E76">
        <f t="shared" si="0"/>
        <v>0</v>
      </c>
    </row>
    <row r="77" spans="1:5" x14ac:dyDescent="0.3">
      <c r="A77">
        <v>63</v>
      </c>
      <c r="E77">
        <f t="shared" si="0"/>
        <v>0</v>
      </c>
    </row>
    <row r="78" spans="1:5" x14ac:dyDescent="0.3">
      <c r="A78">
        <v>64</v>
      </c>
      <c r="E78">
        <f t="shared" si="0"/>
        <v>0</v>
      </c>
    </row>
    <row r="79" spans="1:5" x14ac:dyDescent="0.3">
      <c r="A79">
        <v>65</v>
      </c>
      <c r="E79">
        <f t="shared" si="0"/>
        <v>0</v>
      </c>
    </row>
    <row r="80" spans="1:5" x14ac:dyDescent="0.3">
      <c r="A80">
        <v>66</v>
      </c>
      <c r="E80">
        <f t="shared" ref="E80:E114" si="1">C80*D80</f>
        <v>0</v>
      </c>
    </row>
    <row r="81" spans="1:5" x14ac:dyDescent="0.3">
      <c r="A81">
        <v>67</v>
      </c>
      <c r="E81">
        <f t="shared" si="1"/>
        <v>0</v>
      </c>
    </row>
    <row r="82" spans="1:5" x14ac:dyDescent="0.3">
      <c r="A82">
        <v>68</v>
      </c>
      <c r="E82">
        <f t="shared" si="1"/>
        <v>0</v>
      </c>
    </row>
    <row r="83" spans="1:5" x14ac:dyDescent="0.3">
      <c r="A83">
        <v>69</v>
      </c>
      <c r="E83">
        <f t="shared" si="1"/>
        <v>0</v>
      </c>
    </row>
    <row r="84" spans="1:5" x14ac:dyDescent="0.3">
      <c r="A84">
        <v>70</v>
      </c>
      <c r="E84">
        <f t="shared" si="1"/>
        <v>0</v>
      </c>
    </row>
    <row r="85" spans="1:5" x14ac:dyDescent="0.3">
      <c r="A85">
        <v>71</v>
      </c>
      <c r="E85">
        <f t="shared" si="1"/>
        <v>0</v>
      </c>
    </row>
    <row r="86" spans="1:5" x14ac:dyDescent="0.3">
      <c r="A86">
        <v>72</v>
      </c>
      <c r="E86">
        <f t="shared" si="1"/>
        <v>0</v>
      </c>
    </row>
    <row r="87" spans="1:5" x14ac:dyDescent="0.3">
      <c r="A87">
        <v>73</v>
      </c>
      <c r="E87">
        <f t="shared" si="1"/>
        <v>0</v>
      </c>
    </row>
    <row r="88" spans="1:5" x14ac:dyDescent="0.3">
      <c r="A88">
        <v>74</v>
      </c>
      <c r="E88">
        <f t="shared" si="1"/>
        <v>0</v>
      </c>
    </row>
    <row r="89" spans="1:5" x14ac:dyDescent="0.3">
      <c r="A89">
        <v>75</v>
      </c>
      <c r="E89">
        <f t="shared" si="1"/>
        <v>0</v>
      </c>
    </row>
    <row r="90" spans="1:5" x14ac:dyDescent="0.3">
      <c r="A90">
        <v>76</v>
      </c>
      <c r="E90">
        <f t="shared" si="1"/>
        <v>0</v>
      </c>
    </row>
    <row r="91" spans="1:5" x14ac:dyDescent="0.3">
      <c r="A91">
        <v>77</v>
      </c>
      <c r="E91">
        <f t="shared" si="1"/>
        <v>0</v>
      </c>
    </row>
    <row r="92" spans="1:5" x14ac:dyDescent="0.3">
      <c r="A92">
        <v>78</v>
      </c>
      <c r="E92">
        <f t="shared" si="1"/>
        <v>0</v>
      </c>
    </row>
    <row r="93" spans="1:5" x14ac:dyDescent="0.3">
      <c r="A93">
        <v>79</v>
      </c>
      <c r="E93">
        <f t="shared" si="1"/>
        <v>0</v>
      </c>
    </row>
    <row r="94" spans="1:5" x14ac:dyDescent="0.3">
      <c r="A94">
        <v>80</v>
      </c>
      <c r="E94">
        <f t="shared" si="1"/>
        <v>0</v>
      </c>
    </row>
    <row r="95" spans="1:5" x14ac:dyDescent="0.3">
      <c r="A95">
        <v>81</v>
      </c>
      <c r="E95">
        <f t="shared" si="1"/>
        <v>0</v>
      </c>
    </row>
    <row r="96" spans="1:5" x14ac:dyDescent="0.3">
      <c r="A96">
        <v>82</v>
      </c>
      <c r="E96">
        <f t="shared" si="1"/>
        <v>0</v>
      </c>
    </row>
    <row r="97" spans="1:5" x14ac:dyDescent="0.3">
      <c r="A97">
        <v>83</v>
      </c>
      <c r="E97">
        <f t="shared" si="1"/>
        <v>0</v>
      </c>
    </row>
    <row r="98" spans="1:5" x14ac:dyDescent="0.3">
      <c r="A98">
        <v>84</v>
      </c>
      <c r="E98">
        <f t="shared" si="1"/>
        <v>0</v>
      </c>
    </row>
    <row r="99" spans="1:5" x14ac:dyDescent="0.3">
      <c r="A99">
        <v>85</v>
      </c>
      <c r="E99">
        <f t="shared" si="1"/>
        <v>0</v>
      </c>
    </row>
    <row r="100" spans="1:5" x14ac:dyDescent="0.3">
      <c r="A100">
        <v>86</v>
      </c>
      <c r="E100">
        <f t="shared" si="1"/>
        <v>0</v>
      </c>
    </row>
    <row r="101" spans="1:5" x14ac:dyDescent="0.3">
      <c r="A101">
        <v>87</v>
      </c>
      <c r="E101">
        <f t="shared" si="1"/>
        <v>0</v>
      </c>
    </row>
    <row r="102" spans="1:5" x14ac:dyDescent="0.3">
      <c r="A102">
        <v>88</v>
      </c>
      <c r="E102">
        <f t="shared" si="1"/>
        <v>0</v>
      </c>
    </row>
    <row r="103" spans="1:5" x14ac:dyDescent="0.3">
      <c r="A103">
        <v>89</v>
      </c>
      <c r="E103">
        <f t="shared" si="1"/>
        <v>0</v>
      </c>
    </row>
    <row r="104" spans="1:5" x14ac:dyDescent="0.3">
      <c r="A104">
        <v>90</v>
      </c>
      <c r="E104">
        <f t="shared" si="1"/>
        <v>0</v>
      </c>
    </row>
    <row r="105" spans="1:5" x14ac:dyDescent="0.3">
      <c r="A105">
        <v>91</v>
      </c>
      <c r="E105">
        <f t="shared" si="1"/>
        <v>0</v>
      </c>
    </row>
    <row r="106" spans="1:5" x14ac:dyDescent="0.3">
      <c r="A106">
        <v>92</v>
      </c>
      <c r="E106">
        <f t="shared" si="1"/>
        <v>0</v>
      </c>
    </row>
    <row r="107" spans="1:5" x14ac:dyDescent="0.3">
      <c r="A107">
        <v>93</v>
      </c>
      <c r="E107">
        <f t="shared" si="1"/>
        <v>0</v>
      </c>
    </row>
    <row r="108" spans="1:5" x14ac:dyDescent="0.3">
      <c r="A108">
        <v>94</v>
      </c>
      <c r="E108">
        <f t="shared" si="1"/>
        <v>0</v>
      </c>
    </row>
    <row r="109" spans="1:5" x14ac:dyDescent="0.3">
      <c r="A109">
        <v>95</v>
      </c>
      <c r="E109">
        <f t="shared" si="1"/>
        <v>0</v>
      </c>
    </row>
    <row r="110" spans="1:5" x14ac:dyDescent="0.3">
      <c r="A110">
        <v>96</v>
      </c>
      <c r="E110">
        <f t="shared" si="1"/>
        <v>0</v>
      </c>
    </row>
    <row r="111" spans="1:5" x14ac:dyDescent="0.3">
      <c r="A111">
        <v>97</v>
      </c>
      <c r="E111">
        <f t="shared" si="1"/>
        <v>0</v>
      </c>
    </row>
    <row r="112" spans="1:5" x14ac:dyDescent="0.3">
      <c r="A112">
        <v>98</v>
      </c>
      <c r="E112">
        <f t="shared" si="1"/>
        <v>0</v>
      </c>
    </row>
    <row r="113" spans="1:5" x14ac:dyDescent="0.3">
      <c r="A113">
        <v>99</v>
      </c>
      <c r="E113">
        <f t="shared" si="1"/>
        <v>0</v>
      </c>
    </row>
    <row r="114" spans="1:5" x14ac:dyDescent="0.3">
      <c r="A114">
        <v>100</v>
      </c>
      <c r="E114">
        <f t="shared" si="1"/>
        <v>0</v>
      </c>
    </row>
    <row r="116" spans="1:5" x14ac:dyDescent="0.3">
      <c r="A116" s="31" t="s">
        <v>452</v>
      </c>
      <c r="B116" s="31"/>
      <c r="C116" s="31"/>
      <c r="D116" s="31"/>
      <c r="E116">
        <f>SUM(E15:E115)</f>
        <v>0</v>
      </c>
    </row>
  </sheetData>
  <mergeCells count="1">
    <mergeCell ref="A116:D1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Spinner 2">
              <controlPr defaultSize="0" autoPict="0">
                <anchor moveWithCells="1" sizeWithCells="1">
                  <from>
                    <xdr:col>7</xdr:col>
                    <xdr:colOff>426720</xdr:colOff>
                    <xdr:row>4</xdr:row>
                    <xdr:rowOff>83820</xdr:rowOff>
                  </from>
                  <to>
                    <xdr:col>9</xdr:col>
                    <xdr:colOff>373380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DF9AC-F23D-47A5-97E9-A4D8D2E59841}">
  <sheetPr codeName="Sheet12"/>
  <dimension ref="A14:H116"/>
  <sheetViews>
    <sheetView tabSelected="1" topLeftCell="A10" workbookViewId="0">
      <selection activeCell="H23" sqref="H23"/>
    </sheetView>
  </sheetViews>
  <sheetFormatPr defaultRowHeight="14.4" x14ac:dyDescent="0.3"/>
  <sheetData>
    <row r="14" spans="1:5" x14ac:dyDescent="0.3">
      <c r="A14" s="30" t="s">
        <v>428</v>
      </c>
      <c r="B14" s="30" t="s">
        <v>451</v>
      </c>
      <c r="C14" s="30" t="s">
        <v>60</v>
      </c>
      <c r="D14" s="30" t="s">
        <v>61</v>
      </c>
      <c r="E14" s="30" t="s">
        <v>6</v>
      </c>
    </row>
    <row r="15" spans="1:5" x14ac:dyDescent="0.3">
      <c r="A15">
        <v>1</v>
      </c>
      <c r="E15">
        <f>C15*D15</f>
        <v>0</v>
      </c>
    </row>
    <row r="16" spans="1:5" x14ac:dyDescent="0.3">
      <c r="A16">
        <v>2</v>
      </c>
      <c r="E16">
        <f t="shared" ref="E16:E79" si="0">C16*D16</f>
        <v>0</v>
      </c>
    </row>
    <row r="17" spans="1:8" x14ac:dyDescent="0.3">
      <c r="A17">
        <v>3</v>
      </c>
      <c r="E17">
        <f t="shared" si="0"/>
        <v>0</v>
      </c>
    </row>
    <row r="18" spans="1:8" x14ac:dyDescent="0.3">
      <c r="A18">
        <v>4</v>
      </c>
      <c r="E18">
        <f t="shared" si="0"/>
        <v>0</v>
      </c>
    </row>
    <row r="19" spans="1:8" x14ac:dyDescent="0.3">
      <c r="A19">
        <v>5</v>
      </c>
      <c r="E19">
        <f t="shared" si="0"/>
        <v>0</v>
      </c>
    </row>
    <row r="20" spans="1:8" x14ac:dyDescent="0.3">
      <c r="A20">
        <v>6</v>
      </c>
      <c r="E20">
        <f t="shared" si="0"/>
        <v>0</v>
      </c>
    </row>
    <row r="21" spans="1:8" x14ac:dyDescent="0.3">
      <c r="A21">
        <v>7</v>
      </c>
      <c r="E21">
        <f t="shared" si="0"/>
        <v>0</v>
      </c>
    </row>
    <row r="22" spans="1:8" x14ac:dyDescent="0.3">
      <c r="A22">
        <v>8</v>
      </c>
      <c r="E22">
        <f t="shared" si="0"/>
        <v>0</v>
      </c>
    </row>
    <row r="23" spans="1:8" x14ac:dyDescent="0.3">
      <c r="A23">
        <v>9</v>
      </c>
      <c r="E23">
        <f t="shared" si="0"/>
        <v>0</v>
      </c>
      <c r="H23" t="s">
        <v>453</v>
      </c>
    </row>
    <row r="24" spans="1:8" x14ac:dyDescent="0.3">
      <c r="A24">
        <v>10</v>
      </c>
      <c r="E24">
        <f t="shared" si="0"/>
        <v>0</v>
      </c>
    </row>
    <row r="25" spans="1:8" x14ac:dyDescent="0.3">
      <c r="A25">
        <v>11</v>
      </c>
      <c r="E25">
        <f t="shared" si="0"/>
        <v>0</v>
      </c>
    </row>
    <row r="26" spans="1:8" x14ac:dyDescent="0.3">
      <c r="A26">
        <v>12</v>
      </c>
      <c r="E26">
        <f t="shared" si="0"/>
        <v>0</v>
      </c>
    </row>
    <row r="27" spans="1:8" x14ac:dyDescent="0.3">
      <c r="A27">
        <v>13</v>
      </c>
      <c r="E27">
        <f t="shared" si="0"/>
        <v>0</v>
      </c>
    </row>
    <row r="28" spans="1:8" x14ac:dyDescent="0.3">
      <c r="A28">
        <v>14</v>
      </c>
      <c r="E28">
        <f t="shared" si="0"/>
        <v>0</v>
      </c>
    </row>
    <row r="29" spans="1:8" x14ac:dyDescent="0.3">
      <c r="A29">
        <v>15</v>
      </c>
      <c r="E29">
        <f t="shared" si="0"/>
        <v>0</v>
      </c>
    </row>
    <row r="30" spans="1:8" x14ac:dyDescent="0.3">
      <c r="A30">
        <v>16</v>
      </c>
      <c r="E30">
        <f t="shared" si="0"/>
        <v>0</v>
      </c>
    </row>
    <row r="31" spans="1:8" x14ac:dyDescent="0.3">
      <c r="A31">
        <v>17</v>
      </c>
      <c r="E31">
        <f t="shared" si="0"/>
        <v>0</v>
      </c>
    </row>
    <row r="32" spans="1:8" x14ac:dyDescent="0.3">
      <c r="A32">
        <v>18</v>
      </c>
      <c r="E32">
        <f t="shared" si="0"/>
        <v>0</v>
      </c>
    </row>
    <row r="33" spans="1:5" x14ac:dyDescent="0.3">
      <c r="A33">
        <v>19</v>
      </c>
      <c r="E33">
        <f t="shared" si="0"/>
        <v>0</v>
      </c>
    </row>
    <row r="34" spans="1:5" x14ac:dyDescent="0.3">
      <c r="A34">
        <v>20</v>
      </c>
      <c r="E34">
        <f t="shared" si="0"/>
        <v>0</v>
      </c>
    </row>
    <row r="35" spans="1:5" x14ac:dyDescent="0.3">
      <c r="A35">
        <v>21</v>
      </c>
      <c r="E35">
        <f t="shared" si="0"/>
        <v>0</v>
      </c>
    </row>
    <row r="36" spans="1:5" x14ac:dyDescent="0.3">
      <c r="A36">
        <v>22</v>
      </c>
      <c r="E36">
        <f t="shared" si="0"/>
        <v>0</v>
      </c>
    </row>
    <row r="37" spans="1:5" x14ac:dyDescent="0.3">
      <c r="A37">
        <v>23</v>
      </c>
      <c r="E37">
        <f t="shared" si="0"/>
        <v>0</v>
      </c>
    </row>
    <row r="38" spans="1:5" x14ac:dyDescent="0.3">
      <c r="A38">
        <v>24</v>
      </c>
      <c r="E38">
        <f t="shared" si="0"/>
        <v>0</v>
      </c>
    </row>
    <row r="39" spans="1:5" x14ac:dyDescent="0.3">
      <c r="A39">
        <v>25</v>
      </c>
      <c r="E39">
        <f t="shared" si="0"/>
        <v>0</v>
      </c>
    </row>
    <row r="40" spans="1:5" x14ac:dyDescent="0.3">
      <c r="A40">
        <v>26</v>
      </c>
      <c r="E40">
        <f t="shared" si="0"/>
        <v>0</v>
      </c>
    </row>
    <row r="41" spans="1:5" x14ac:dyDescent="0.3">
      <c r="A41">
        <v>27</v>
      </c>
      <c r="E41">
        <f t="shared" si="0"/>
        <v>0</v>
      </c>
    </row>
    <row r="42" spans="1:5" x14ac:dyDescent="0.3">
      <c r="A42">
        <v>28</v>
      </c>
      <c r="E42">
        <f t="shared" si="0"/>
        <v>0</v>
      </c>
    </row>
    <row r="43" spans="1:5" x14ac:dyDescent="0.3">
      <c r="A43">
        <v>29</v>
      </c>
      <c r="E43">
        <f t="shared" si="0"/>
        <v>0</v>
      </c>
    </row>
    <row r="44" spans="1:5" x14ac:dyDescent="0.3">
      <c r="A44">
        <v>30</v>
      </c>
      <c r="E44">
        <f t="shared" si="0"/>
        <v>0</v>
      </c>
    </row>
    <row r="45" spans="1:5" x14ac:dyDescent="0.3">
      <c r="A45">
        <v>31</v>
      </c>
      <c r="E45">
        <f t="shared" si="0"/>
        <v>0</v>
      </c>
    </row>
    <row r="46" spans="1:5" x14ac:dyDescent="0.3">
      <c r="A46">
        <v>32</v>
      </c>
      <c r="E46">
        <f t="shared" si="0"/>
        <v>0</v>
      </c>
    </row>
    <row r="47" spans="1:5" x14ac:dyDescent="0.3">
      <c r="A47">
        <v>33</v>
      </c>
      <c r="E47">
        <f t="shared" si="0"/>
        <v>0</v>
      </c>
    </row>
    <row r="48" spans="1:5" x14ac:dyDescent="0.3">
      <c r="A48">
        <v>34</v>
      </c>
      <c r="E48">
        <f t="shared" si="0"/>
        <v>0</v>
      </c>
    </row>
    <row r="49" spans="1:5" x14ac:dyDescent="0.3">
      <c r="A49">
        <v>35</v>
      </c>
      <c r="E49">
        <f t="shared" si="0"/>
        <v>0</v>
      </c>
    </row>
    <row r="50" spans="1:5" x14ac:dyDescent="0.3">
      <c r="A50">
        <v>36</v>
      </c>
      <c r="E50">
        <f t="shared" si="0"/>
        <v>0</v>
      </c>
    </row>
    <row r="51" spans="1:5" x14ac:dyDescent="0.3">
      <c r="A51">
        <v>37</v>
      </c>
      <c r="E51">
        <f t="shared" si="0"/>
        <v>0</v>
      </c>
    </row>
    <row r="52" spans="1:5" x14ac:dyDescent="0.3">
      <c r="A52">
        <v>38</v>
      </c>
      <c r="E52">
        <f t="shared" si="0"/>
        <v>0</v>
      </c>
    </row>
    <row r="53" spans="1:5" x14ac:dyDescent="0.3">
      <c r="A53">
        <v>39</v>
      </c>
      <c r="E53">
        <f t="shared" si="0"/>
        <v>0</v>
      </c>
    </row>
    <row r="54" spans="1:5" x14ac:dyDescent="0.3">
      <c r="A54">
        <v>40</v>
      </c>
      <c r="E54">
        <f t="shared" si="0"/>
        <v>0</v>
      </c>
    </row>
    <row r="55" spans="1:5" x14ac:dyDescent="0.3">
      <c r="A55">
        <v>41</v>
      </c>
      <c r="E55">
        <f t="shared" si="0"/>
        <v>0</v>
      </c>
    </row>
    <row r="56" spans="1:5" x14ac:dyDescent="0.3">
      <c r="A56">
        <v>42</v>
      </c>
      <c r="E56">
        <f t="shared" si="0"/>
        <v>0</v>
      </c>
    </row>
    <row r="57" spans="1:5" x14ac:dyDescent="0.3">
      <c r="A57">
        <v>43</v>
      </c>
      <c r="E57">
        <f t="shared" si="0"/>
        <v>0</v>
      </c>
    </row>
    <row r="58" spans="1:5" x14ac:dyDescent="0.3">
      <c r="A58">
        <v>44</v>
      </c>
      <c r="E58">
        <f t="shared" si="0"/>
        <v>0</v>
      </c>
    </row>
    <row r="59" spans="1:5" x14ac:dyDescent="0.3">
      <c r="A59">
        <v>45</v>
      </c>
      <c r="E59">
        <f t="shared" si="0"/>
        <v>0</v>
      </c>
    </row>
    <row r="60" spans="1:5" x14ac:dyDescent="0.3">
      <c r="A60">
        <v>46</v>
      </c>
      <c r="E60">
        <f t="shared" si="0"/>
        <v>0</v>
      </c>
    </row>
    <row r="61" spans="1:5" x14ac:dyDescent="0.3">
      <c r="A61">
        <v>47</v>
      </c>
      <c r="E61">
        <f t="shared" si="0"/>
        <v>0</v>
      </c>
    </row>
    <row r="62" spans="1:5" x14ac:dyDescent="0.3">
      <c r="A62">
        <v>48</v>
      </c>
      <c r="E62">
        <f t="shared" si="0"/>
        <v>0</v>
      </c>
    </row>
    <row r="63" spans="1:5" x14ac:dyDescent="0.3">
      <c r="A63">
        <v>49</v>
      </c>
      <c r="E63">
        <f t="shared" si="0"/>
        <v>0</v>
      </c>
    </row>
    <row r="64" spans="1:5" x14ac:dyDescent="0.3">
      <c r="A64">
        <v>50</v>
      </c>
      <c r="E64">
        <f t="shared" si="0"/>
        <v>0</v>
      </c>
    </row>
    <row r="65" spans="1:5" x14ac:dyDescent="0.3">
      <c r="A65">
        <v>51</v>
      </c>
      <c r="E65">
        <f t="shared" si="0"/>
        <v>0</v>
      </c>
    </row>
    <row r="66" spans="1:5" x14ac:dyDescent="0.3">
      <c r="A66">
        <v>52</v>
      </c>
      <c r="E66">
        <f t="shared" si="0"/>
        <v>0</v>
      </c>
    </row>
    <row r="67" spans="1:5" x14ac:dyDescent="0.3">
      <c r="A67">
        <v>53</v>
      </c>
      <c r="E67">
        <f t="shared" si="0"/>
        <v>0</v>
      </c>
    </row>
    <row r="68" spans="1:5" x14ac:dyDescent="0.3">
      <c r="A68">
        <v>54</v>
      </c>
      <c r="E68">
        <f t="shared" si="0"/>
        <v>0</v>
      </c>
    </row>
    <row r="69" spans="1:5" x14ac:dyDescent="0.3">
      <c r="A69">
        <v>55</v>
      </c>
      <c r="E69">
        <f t="shared" si="0"/>
        <v>0</v>
      </c>
    </row>
    <row r="70" spans="1:5" x14ac:dyDescent="0.3">
      <c r="A70">
        <v>56</v>
      </c>
      <c r="E70">
        <f t="shared" si="0"/>
        <v>0</v>
      </c>
    </row>
    <row r="71" spans="1:5" x14ac:dyDescent="0.3">
      <c r="A71">
        <v>57</v>
      </c>
      <c r="E71">
        <f t="shared" si="0"/>
        <v>0</v>
      </c>
    </row>
    <row r="72" spans="1:5" x14ac:dyDescent="0.3">
      <c r="A72">
        <v>58</v>
      </c>
      <c r="E72">
        <f t="shared" si="0"/>
        <v>0</v>
      </c>
    </row>
    <row r="73" spans="1:5" x14ac:dyDescent="0.3">
      <c r="A73">
        <v>59</v>
      </c>
      <c r="E73">
        <f t="shared" si="0"/>
        <v>0</v>
      </c>
    </row>
    <row r="74" spans="1:5" x14ac:dyDescent="0.3">
      <c r="A74">
        <v>60</v>
      </c>
      <c r="E74">
        <f t="shared" si="0"/>
        <v>0</v>
      </c>
    </row>
    <row r="75" spans="1:5" x14ac:dyDescent="0.3">
      <c r="A75">
        <v>61</v>
      </c>
      <c r="E75">
        <f t="shared" si="0"/>
        <v>0</v>
      </c>
    </row>
    <row r="76" spans="1:5" x14ac:dyDescent="0.3">
      <c r="A76">
        <v>62</v>
      </c>
      <c r="E76">
        <f t="shared" si="0"/>
        <v>0</v>
      </c>
    </row>
    <row r="77" spans="1:5" x14ac:dyDescent="0.3">
      <c r="A77">
        <v>63</v>
      </c>
      <c r="E77">
        <f t="shared" si="0"/>
        <v>0</v>
      </c>
    </row>
    <row r="78" spans="1:5" x14ac:dyDescent="0.3">
      <c r="A78">
        <v>64</v>
      </c>
      <c r="E78">
        <f t="shared" si="0"/>
        <v>0</v>
      </c>
    </row>
    <row r="79" spans="1:5" x14ac:dyDescent="0.3">
      <c r="A79">
        <v>65</v>
      </c>
      <c r="E79">
        <f t="shared" si="0"/>
        <v>0</v>
      </c>
    </row>
    <row r="80" spans="1:5" x14ac:dyDescent="0.3">
      <c r="A80">
        <v>66</v>
      </c>
      <c r="E80">
        <f t="shared" ref="E80:E114" si="1">C80*D80</f>
        <v>0</v>
      </c>
    </row>
    <row r="81" spans="1:5" x14ac:dyDescent="0.3">
      <c r="A81">
        <v>67</v>
      </c>
      <c r="E81">
        <f t="shared" si="1"/>
        <v>0</v>
      </c>
    </row>
    <row r="82" spans="1:5" x14ac:dyDescent="0.3">
      <c r="A82">
        <v>68</v>
      </c>
      <c r="E82">
        <f t="shared" si="1"/>
        <v>0</v>
      </c>
    </row>
    <row r="83" spans="1:5" x14ac:dyDescent="0.3">
      <c r="A83">
        <v>69</v>
      </c>
      <c r="E83">
        <f t="shared" si="1"/>
        <v>0</v>
      </c>
    </row>
    <row r="84" spans="1:5" x14ac:dyDescent="0.3">
      <c r="A84">
        <v>70</v>
      </c>
      <c r="E84">
        <f t="shared" si="1"/>
        <v>0</v>
      </c>
    </row>
    <row r="85" spans="1:5" x14ac:dyDescent="0.3">
      <c r="A85">
        <v>71</v>
      </c>
      <c r="E85">
        <f t="shared" si="1"/>
        <v>0</v>
      </c>
    </row>
    <row r="86" spans="1:5" x14ac:dyDescent="0.3">
      <c r="A86">
        <v>72</v>
      </c>
      <c r="E86">
        <f t="shared" si="1"/>
        <v>0</v>
      </c>
    </row>
    <row r="87" spans="1:5" x14ac:dyDescent="0.3">
      <c r="A87">
        <v>73</v>
      </c>
      <c r="E87">
        <f t="shared" si="1"/>
        <v>0</v>
      </c>
    </row>
    <row r="88" spans="1:5" x14ac:dyDescent="0.3">
      <c r="A88">
        <v>74</v>
      </c>
      <c r="E88">
        <f t="shared" si="1"/>
        <v>0</v>
      </c>
    </row>
    <row r="89" spans="1:5" x14ac:dyDescent="0.3">
      <c r="A89">
        <v>75</v>
      </c>
      <c r="E89">
        <f t="shared" si="1"/>
        <v>0</v>
      </c>
    </row>
    <row r="90" spans="1:5" x14ac:dyDescent="0.3">
      <c r="A90">
        <v>76</v>
      </c>
      <c r="E90">
        <f t="shared" si="1"/>
        <v>0</v>
      </c>
    </row>
    <row r="91" spans="1:5" x14ac:dyDescent="0.3">
      <c r="A91">
        <v>77</v>
      </c>
      <c r="E91">
        <f t="shared" si="1"/>
        <v>0</v>
      </c>
    </row>
    <row r="92" spans="1:5" x14ac:dyDescent="0.3">
      <c r="A92">
        <v>78</v>
      </c>
      <c r="E92">
        <f t="shared" si="1"/>
        <v>0</v>
      </c>
    </row>
    <row r="93" spans="1:5" x14ac:dyDescent="0.3">
      <c r="A93">
        <v>79</v>
      </c>
      <c r="E93">
        <f t="shared" si="1"/>
        <v>0</v>
      </c>
    </row>
    <row r="94" spans="1:5" x14ac:dyDescent="0.3">
      <c r="A94">
        <v>80</v>
      </c>
      <c r="E94">
        <f t="shared" si="1"/>
        <v>0</v>
      </c>
    </row>
    <row r="95" spans="1:5" x14ac:dyDescent="0.3">
      <c r="A95">
        <v>81</v>
      </c>
      <c r="E95">
        <f t="shared" si="1"/>
        <v>0</v>
      </c>
    </row>
    <row r="96" spans="1:5" x14ac:dyDescent="0.3">
      <c r="A96">
        <v>82</v>
      </c>
      <c r="E96">
        <f t="shared" si="1"/>
        <v>0</v>
      </c>
    </row>
    <row r="97" spans="1:5" x14ac:dyDescent="0.3">
      <c r="A97">
        <v>83</v>
      </c>
      <c r="E97">
        <f t="shared" si="1"/>
        <v>0</v>
      </c>
    </row>
    <row r="98" spans="1:5" x14ac:dyDescent="0.3">
      <c r="A98">
        <v>84</v>
      </c>
      <c r="E98">
        <f t="shared" si="1"/>
        <v>0</v>
      </c>
    </row>
    <row r="99" spans="1:5" x14ac:dyDescent="0.3">
      <c r="A99">
        <v>85</v>
      </c>
      <c r="E99">
        <f t="shared" si="1"/>
        <v>0</v>
      </c>
    </row>
    <row r="100" spans="1:5" x14ac:dyDescent="0.3">
      <c r="A100">
        <v>86</v>
      </c>
      <c r="E100">
        <f t="shared" si="1"/>
        <v>0</v>
      </c>
    </row>
    <row r="101" spans="1:5" x14ac:dyDescent="0.3">
      <c r="A101">
        <v>87</v>
      </c>
      <c r="E101">
        <f t="shared" si="1"/>
        <v>0</v>
      </c>
    </row>
    <row r="102" spans="1:5" x14ac:dyDescent="0.3">
      <c r="A102">
        <v>88</v>
      </c>
      <c r="E102">
        <f t="shared" si="1"/>
        <v>0</v>
      </c>
    </row>
    <row r="103" spans="1:5" x14ac:dyDescent="0.3">
      <c r="A103">
        <v>89</v>
      </c>
      <c r="E103">
        <f t="shared" si="1"/>
        <v>0</v>
      </c>
    </row>
    <row r="104" spans="1:5" x14ac:dyDescent="0.3">
      <c r="A104">
        <v>90</v>
      </c>
      <c r="E104">
        <f t="shared" si="1"/>
        <v>0</v>
      </c>
    </row>
    <row r="105" spans="1:5" x14ac:dyDescent="0.3">
      <c r="A105">
        <v>91</v>
      </c>
      <c r="E105">
        <f t="shared" si="1"/>
        <v>0</v>
      </c>
    </row>
    <row r="106" spans="1:5" x14ac:dyDescent="0.3">
      <c r="A106">
        <v>92</v>
      </c>
      <c r="E106">
        <f t="shared" si="1"/>
        <v>0</v>
      </c>
    </row>
    <row r="107" spans="1:5" x14ac:dyDescent="0.3">
      <c r="A107">
        <v>93</v>
      </c>
      <c r="E107">
        <f t="shared" si="1"/>
        <v>0</v>
      </c>
    </row>
    <row r="108" spans="1:5" x14ac:dyDescent="0.3">
      <c r="A108">
        <v>94</v>
      </c>
      <c r="E108">
        <f t="shared" si="1"/>
        <v>0</v>
      </c>
    </row>
    <row r="109" spans="1:5" x14ac:dyDescent="0.3">
      <c r="A109">
        <v>95</v>
      </c>
      <c r="E109">
        <f t="shared" si="1"/>
        <v>0</v>
      </c>
    </row>
    <row r="110" spans="1:5" x14ac:dyDescent="0.3">
      <c r="A110">
        <v>96</v>
      </c>
      <c r="E110">
        <f t="shared" si="1"/>
        <v>0</v>
      </c>
    </row>
    <row r="111" spans="1:5" x14ac:dyDescent="0.3">
      <c r="A111">
        <v>97</v>
      </c>
      <c r="E111">
        <f t="shared" si="1"/>
        <v>0</v>
      </c>
    </row>
    <row r="112" spans="1:5" x14ac:dyDescent="0.3">
      <c r="A112">
        <v>98</v>
      </c>
      <c r="E112">
        <f t="shared" si="1"/>
        <v>0</v>
      </c>
    </row>
    <row r="113" spans="1:5" x14ac:dyDescent="0.3">
      <c r="A113">
        <v>99</v>
      </c>
      <c r="E113">
        <f t="shared" si="1"/>
        <v>0</v>
      </c>
    </row>
    <row r="114" spans="1:5" x14ac:dyDescent="0.3">
      <c r="A114">
        <v>100</v>
      </c>
      <c r="E114">
        <f t="shared" si="1"/>
        <v>0</v>
      </c>
    </row>
    <row r="116" spans="1:5" x14ac:dyDescent="0.3">
      <c r="A116" s="31" t="s">
        <v>452</v>
      </c>
      <c r="B116" s="31"/>
      <c r="C116" s="31"/>
      <c r="D116" s="31"/>
      <c r="E116">
        <f>SUM(E15:E115)</f>
        <v>0</v>
      </c>
    </row>
  </sheetData>
  <mergeCells count="1">
    <mergeCell ref="A116:D1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CA135-1686-49B0-B15D-B78CF69B1BE4}">
  <sheetPr codeName="Sheet13"/>
  <dimension ref="A1:F4"/>
  <sheetViews>
    <sheetView workbookViewId="0"/>
  </sheetViews>
  <sheetFormatPr defaultRowHeight="14.4" x14ac:dyDescent="0.3"/>
  <cols>
    <col min="1" max="1" width="6.88671875" bestFit="1" customWidth="1"/>
    <col min="2" max="2" width="9" bestFit="1" customWidth="1"/>
    <col min="3" max="3" width="9.88671875" bestFit="1" customWidth="1"/>
    <col min="4" max="4" width="10.5546875" bestFit="1" customWidth="1"/>
    <col min="5" max="5" width="11.33203125" bestFit="1" customWidth="1"/>
    <col min="6" max="6" width="15.44140625" bestFit="1" customWidth="1"/>
  </cols>
  <sheetData>
    <row r="1" spans="1:6" x14ac:dyDescent="0.3">
      <c r="A1" t="s">
        <v>428</v>
      </c>
      <c r="B1" t="s">
        <v>3</v>
      </c>
      <c r="C1" t="s">
        <v>429</v>
      </c>
      <c r="D1" t="s">
        <v>60</v>
      </c>
      <c r="E1" t="s">
        <v>430</v>
      </c>
      <c r="F1" t="s">
        <v>431</v>
      </c>
    </row>
    <row r="2" spans="1:6" x14ac:dyDescent="0.3">
      <c r="A2">
        <v>7</v>
      </c>
      <c r="B2" t="s">
        <v>9</v>
      </c>
      <c r="C2" t="s">
        <v>438</v>
      </c>
      <c r="D2">
        <v>21</v>
      </c>
      <c r="E2">
        <v>24000</v>
      </c>
      <c r="F2" s="28">
        <v>42796</v>
      </c>
    </row>
    <row r="3" spans="1:6" x14ac:dyDescent="0.3">
      <c r="A3">
        <v>8</v>
      </c>
      <c r="B3" t="s">
        <v>9</v>
      </c>
      <c r="C3" t="s">
        <v>439</v>
      </c>
      <c r="D3">
        <v>2</v>
      </c>
      <c r="E3">
        <v>24000</v>
      </c>
      <c r="F3" s="28">
        <v>46165</v>
      </c>
    </row>
    <row r="4" spans="1:6" x14ac:dyDescent="0.3">
      <c r="A4">
        <v>9</v>
      </c>
      <c r="B4" t="s">
        <v>17</v>
      </c>
      <c r="C4" t="s">
        <v>440</v>
      </c>
      <c r="D4">
        <v>130</v>
      </c>
      <c r="E4">
        <v>2300</v>
      </c>
      <c r="F4" s="28">
        <v>42250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76AD6-6227-4FDD-A560-F875149E3124}">
  <sheetPr codeName="Sheet14"/>
  <dimension ref="A1:F4"/>
  <sheetViews>
    <sheetView workbookViewId="0">
      <selection sqref="A1:F4"/>
    </sheetView>
  </sheetViews>
  <sheetFormatPr defaultRowHeight="14.4" x14ac:dyDescent="0.3"/>
  <cols>
    <col min="3" max="3" width="9.5546875" customWidth="1"/>
    <col min="4" max="4" width="10.21875" customWidth="1"/>
    <col min="5" max="5" width="11" customWidth="1"/>
    <col min="6" max="6" width="11.44140625" customWidth="1"/>
  </cols>
  <sheetData>
    <row r="1" spans="1:6" x14ac:dyDescent="0.3">
      <c r="A1" s="26" t="s">
        <v>428</v>
      </c>
      <c r="B1" s="27" t="s">
        <v>3</v>
      </c>
      <c r="C1" s="27" t="s">
        <v>429</v>
      </c>
      <c r="D1" s="27" t="s">
        <v>60</v>
      </c>
      <c r="E1" s="27" t="s">
        <v>430</v>
      </c>
      <c r="F1" s="27" t="s">
        <v>431</v>
      </c>
    </row>
    <row r="2" spans="1:6" x14ac:dyDescent="0.3">
      <c r="A2">
        <v>7</v>
      </c>
      <c r="B2" t="s">
        <v>9</v>
      </c>
      <c r="C2" t="s">
        <v>438</v>
      </c>
      <c r="D2">
        <v>21</v>
      </c>
      <c r="E2">
        <v>24000</v>
      </c>
      <c r="F2" s="25">
        <v>42796</v>
      </c>
    </row>
    <row r="3" spans="1:6" x14ac:dyDescent="0.3">
      <c r="A3">
        <v>8</v>
      </c>
      <c r="B3" t="s">
        <v>9</v>
      </c>
      <c r="C3" t="s">
        <v>439</v>
      </c>
      <c r="D3">
        <v>2</v>
      </c>
      <c r="E3">
        <v>24000</v>
      </c>
      <c r="F3" s="25">
        <v>46165</v>
      </c>
    </row>
    <row r="4" spans="1:6" x14ac:dyDescent="0.3">
      <c r="A4">
        <v>9</v>
      </c>
      <c r="B4" t="s">
        <v>17</v>
      </c>
      <c r="C4" t="s">
        <v>440</v>
      </c>
      <c r="D4">
        <v>130</v>
      </c>
      <c r="E4">
        <v>2300</v>
      </c>
      <c r="F4" s="25">
        <v>42250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87B43-A5C5-4524-B58C-6B6B553716D9}">
  <sheetPr codeName="Sheet1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7972D6-B0DD-449D-8ADF-9E109CAFC9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Vlookup1</vt:lpstr>
      <vt:lpstr>Vlookup2</vt:lpstr>
      <vt:lpstr>Data</vt:lpstr>
      <vt:lpstr>Xlookup</vt:lpstr>
      <vt:lpstr>Table2</vt:lpstr>
      <vt:lpstr>Sheet1</vt:lpstr>
      <vt:lpstr>Table4</vt:lpstr>
      <vt:lpstr>Sheet2</vt:lpstr>
      <vt:lpstr>Append1</vt:lpstr>
      <vt:lpstr>Data validation</vt:lpstr>
      <vt:lpstr>Developer</vt:lpstr>
      <vt:lpstr>Sheet7</vt:lpstr>
      <vt:lpstr>Table6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Afroj Ali</dc:creator>
  <cp:lastModifiedBy>Afroj Ali</cp:lastModifiedBy>
  <dcterms:created xsi:type="dcterms:W3CDTF">2026-05-05T12:28:02Z</dcterms:created>
  <dcterms:modified xsi:type="dcterms:W3CDTF">2026-05-05T19:09:19Z</dcterms:modified>
</cp:coreProperties>
</file>