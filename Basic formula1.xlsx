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oj\OneDrive\excel\"/>
    </mc:Choice>
  </mc:AlternateContent>
  <xr:revisionPtr revIDLastSave="0" documentId="13_ncr:1_{49649877-A195-4FF2-94DD-30CAD18B354E}" xr6:coauthVersionLast="47" xr6:coauthVersionMax="47" xr10:uidLastSave="{00000000-0000-0000-0000-000000000000}"/>
  <bookViews>
    <workbookView xWindow="-108" yWindow="-108" windowWidth="23256" windowHeight="13896" firstSheet="1" activeTab="6" xr2:uid="{9A291495-687B-4C9D-B83F-0666781C5A28}"/>
  </bookViews>
  <sheets>
    <sheet name="statistrical formulas" sheetId="1" r:id="rId1"/>
    <sheet name="cell Refernence" sheetId="2" r:id="rId2"/>
    <sheet name="Text formula" sheetId="3" r:id="rId3"/>
    <sheet name="Date and the formulas" sheetId="4" r:id="rId4"/>
    <sheet name="logical formula" sheetId="5" r:id="rId5"/>
    <sheet name="Misc" sheetId="6" r:id="rId6"/>
    <sheet name="sumif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6" l="1"/>
  <c r="J6" i="6"/>
  <c r="J7" i="6"/>
  <c r="J8" i="6"/>
  <c r="J9" i="6"/>
  <c r="J10" i="6"/>
  <c r="K10" i="6" s="1"/>
  <c r="J11" i="6"/>
  <c r="K11" i="6" s="1"/>
  <c r="J12" i="6"/>
  <c r="K12" i="6" s="1"/>
  <c r="J13" i="6"/>
  <c r="K13" i="6" s="1"/>
  <c r="J14" i="6"/>
  <c r="K14" i="6" s="1"/>
  <c r="J15" i="6"/>
  <c r="L15" i="6" s="1"/>
  <c r="J16" i="6"/>
  <c r="K16" i="6" s="1"/>
  <c r="J17" i="6"/>
  <c r="K17" i="6" s="1"/>
  <c r="J18" i="6"/>
  <c r="L18" i="6" s="1"/>
  <c r="L16" i="6"/>
  <c r="L17" i="6"/>
  <c r="K9" i="6"/>
  <c r="K27" i="6"/>
  <c r="K28" i="6"/>
  <c r="K29" i="6"/>
  <c r="K30" i="6"/>
  <c r="K31" i="6"/>
  <c r="K32" i="6"/>
  <c r="K26" i="6"/>
  <c r="G27" i="6"/>
  <c r="G28" i="6"/>
  <c r="G29" i="6"/>
  <c r="G30" i="6"/>
  <c r="G31" i="6"/>
  <c r="G32" i="6"/>
  <c r="G26" i="6"/>
  <c r="C27" i="6"/>
  <c r="C28" i="6"/>
  <c r="C29" i="6"/>
  <c r="C30" i="6"/>
  <c r="C31" i="6"/>
  <c r="C32" i="6"/>
  <c r="C26" i="6"/>
  <c r="G18" i="6"/>
  <c r="H18" i="6" s="1"/>
  <c r="G17" i="6"/>
  <c r="H17" i="6" s="1"/>
  <c r="I17" i="6" s="1"/>
  <c r="G16" i="6"/>
  <c r="H16" i="6" s="1"/>
  <c r="G15" i="6"/>
  <c r="H15" i="6" s="1"/>
  <c r="G14" i="6"/>
  <c r="H14" i="6" s="1"/>
  <c r="I13" i="6"/>
  <c r="G13" i="6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J4" i="6" s="1"/>
  <c r="R14" i="5"/>
  <c r="R15" i="5"/>
  <c r="R16" i="5"/>
  <c r="R17" i="5"/>
  <c r="R13" i="5"/>
  <c r="S30" i="5"/>
  <c r="S31" i="5"/>
  <c r="S32" i="5"/>
  <c r="S33" i="5"/>
  <c r="S29" i="5"/>
  <c r="E27" i="5"/>
  <c r="E28" i="5"/>
  <c r="E29" i="5"/>
  <c r="E30" i="5"/>
  <c r="E31" i="5"/>
  <c r="E32" i="5"/>
  <c r="E33" i="5"/>
  <c r="E3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4" i="5"/>
  <c r="I18" i="5"/>
  <c r="H18" i="5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I8" i="5"/>
  <c r="H8" i="5"/>
  <c r="H7" i="5"/>
  <c r="I7" i="5" s="1"/>
  <c r="H6" i="5"/>
  <c r="I6" i="5" s="1"/>
  <c r="H5" i="5"/>
  <c r="I5" i="5" s="1"/>
  <c r="H4" i="5"/>
  <c r="I4" i="5" s="1"/>
  <c r="K18" i="6" l="1"/>
  <c r="K15" i="6"/>
  <c r="I15" i="6"/>
  <c r="I14" i="6"/>
  <c r="I4" i="6"/>
  <c r="I5" i="6"/>
  <c r="I6" i="6"/>
  <c r="I7" i="6"/>
  <c r="I16" i="6"/>
  <c r="I8" i="6"/>
  <c r="I9" i="6"/>
  <c r="I11" i="6"/>
  <c r="I12" i="6"/>
  <c r="I10" i="6"/>
  <c r="I18" i="6"/>
  <c r="E79" i="4" l="1"/>
  <c r="E80" i="4"/>
  <c r="E81" i="4"/>
  <c r="E82" i="4"/>
  <c r="E83" i="4"/>
  <c r="E84" i="4"/>
  <c r="E85" i="4"/>
  <c r="E86" i="4"/>
  <c r="E87" i="4"/>
  <c r="E78" i="4"/>
  <c r="D79" i="4"/>
  <c r="D80" i="4"/>
  <c r="D81" i="4"/>
  <c r="D82" i="4"/>
  <c r="D83" i="4"/>
  <c r="D84" i="4"/>
  <c r="D85" i="4"/>
  <c r="D86" i="4"/>
  <c r="D87" i="4"/>
  <c r="D78" i="4"/>
  <c r="C79" i="4"/>
  <c r="C80" i="4"/>
  <c r="C81" i="4"/>
  <c r="C82" i="4"/>
  <c r="C83" i="4"/>
  <c r="C84" i="4"/>
  <c r="C85" i="4"/>
  <c r="C86" i="4"/>
  <c r="C87" i="4"/>
  <c r="C78" i="4"/>
  <c r="G61" i="4"/>
  <c r="G62" i="4"/>
  <c r="G63" i="4"/>
  <c r="G64" i="4"/>
  <c r="G65" i="4"/>
  <c r="G66" i="4"/>
  <c r="G67" i="4"/>
  <c r="G68" i="4"/>
  <c r="G69" i="4"/>
  <c r="G60" i="4"/>
  <c r="F61" i="4"/>
  <c r="F62" i="4"/>
  <c r="F63" i="4"/>
  <c r="F64" i="4"/>
  <c r="F65" i="4"/>
  <c r="F66" i="4"/>
  <c r="F67" i="4"/>
  <c r="F68" i="4"/>
  <c r="F69" i="4"/>
  <c r="F60" i="4"/>
  <c r="E61" i="4"/>
  <c r="E62" i="4"/>
  <c r="E63" i="4"/>
  <c r="E64" i="4"/>
  <c r="E65" i="4"/>
  <c r="E66" i="4"/>
  <c r="E67" i="4"/>
  <c r="E68" i="4"/>
  <c r="E69" i="4"/>
  <c r="E60" i="4"/>
  <c r="D61" i="4"/>
  <c r="D62" i="4"/>
  <c r="D63" i="4"/>
  <c r="D64" i="4"/>
  <c r="D65" i="4"/>
  <c r="D66" i="4"/>
  <c r="D67" i="4"/>
  <c r="D68" i="4"/>
  <c r="D69" i="4"/>
  <c r="D60" i="4"/>
  <c r="F42" i="4"/>
  <c r="F43" i="4"/>
  <c r="F44" i="4"/>
  <c r="F45" i="4"/>
  <c r="F46" i="4"/>
  <c r="F47" i="4"/>
  <c r="F48" i="4"/>
  <c r="F49" i="4"/>
  <c r="F50" i="4"/>
  <c r="F41" i="4"/>
  <c r="E42" i="4"/>
  <c r="E43" i="4"/>
  <c r="E44" i="4"/>
  <c r="E45" i="4"/>
  <c r="E46" i="4"/>
  <c r="E47" i="4"/>
  <c r="E48" i="4"/>
  <c r="E49" i="4"/>
  <c r="E50" i="4"/>
  <c r="E41" i="4"/>
  <c r="J24" i="4"/>
  <c r="J25" i="4"/>
  <c r="J26" i="4"/>
  <c r="J27" i="4"/>
  <c r="J28" i="4"/>
  <c r="J29" i="4"/>
  <c r="J30" i="4"/>
  <c r="J31" i="4"/>
  <c r="J32" i="4"/>
  <c r="J23" i="4"/>
  <c r="I24" i="4"/>
  <c r="I25" i="4"/>
  <c r="I26" i="4"/>
  <c r="I27" i="4"/>
  <c r="I28" i="4"/>
  <c r="I29" i="4"/>
  <c r="I30" i="4"/>
  <c r="I31" i="4"/>
  <c r="I32" i="4"/>
  <c r="I23" i="4"/>
  <c r="H24" i="4"/>
  <c r="H25" i="4"/>
  <c r="H26" i="4"/>
  <c r="H27" i="4"/>
  <c r="H28" i="4"/>
  <c r="H29" i="4"/>
  <c r="H30" i="4"/>
  <c r="H31" i="4"/>
  <c r="H32" i="4"/>
  <c r="H23" i="4"/>
  <c r="G23" i="4"/>
  <c r="G24" i="4"/>
  <c r="G25" i="4"/>
  <c r="G26" i="4"/>
  <c r="G27" i="4"/>
  <c r="G28" i="4"/>
  <c r="G29" i="4"/>
  <c r="G30" i="4"/>
  <c r="G31" i="4"/>
  <c r="G32" i="4"/>
  <c r="F24" i="4"/>
  <c r="F25" i="4"/>
  <c r="F26" i="4"/>
  <c r="F27" i="4"/>
  <c r="F28" i="4"/>
  <c r="F29" i="4"/>
  <c r="F30" i="4"/>
  <c r="F31" i="4"/>
  <c r="F32" i="4"/>
  <c r="F23" i="4"/>
  <c r="E24" i="4"/>
  <c r="E25" i="4"/>
  <c r="E26" i="4"/>
  <c r="E27" i="4"/>
  <c r="E28" i="4"/>
  <c r="E29" i="4"/>
  <c r="E30" i="4"/>
  <c r="E31" i="4"/>
  <c r="E32" i="4"/>
  <c r="E23" i="4"/>
  <c r="E6" i="4"/>
  <c r="E7" i="4"/>
  <c r="E8" i="4"/>
  <c r="E9" i="4"/>
  <c r="E10" i="4"/>
  <c r="E11" i="4"/>
  <c r="E12" i="4"/>
  <c r="E13" i="4"/>
  <c r="E14" i="4"/>
  <c r="D6" i="4"/>
  <c r="D7" i="4"/>
  <c r="D8" i="4"/>
  <c r="D9" i="4"/>
  <c r="D10" i="4"/>
  <c r="D11" i="4"/>
  <c r="D12" i="4"/>
  <c r="D13" i="4"/>
  <c r="D14" i="4"/>
  <c r="E5" i="4"/>
  <c r="D5" i="4"/>
  <c r="C6" i="4"/>
  <c r="C7" i="4"/>
  <c r="C8" i="4"/>
  <c r="C9" i="4"/>
  <c r="C10" i="4"/>
  <c r="C11" i="4"/>
  <c r="C12" i="4"/>
  <c r="C13" i="4"/>
  <c r="C14" i="4"/>
  <c r="C5" i="4"/>
  <c r="B6" i="4"/>
  <c r="B7" i="4"/>
  <c r="B8" i="4"/>
  <c r="B9" i="4"/>
  <c r="B10" i="4"/>
  <c r="B11" i="4"/>
  <c r="B12" i="4"/>
  <c r="B13" i="4"/>
  <c r="B14" i="4"/>
  <c r="B5" i="4"/>
  <c r="G1" i="4"/>
  <c r="B1" i="4"/>
  <c r="B180" i="3"/>
  <c r="B182" i="3"/>
  <c r="B183" i="3"/>
  <c r="B184" i="3"/>
  <c r="B185" i="3"/>
  <c r="B186" i="3"/>
  <c r="B187" i="3"/>
  <c r="B188" i="3"/>
  <c r="B189" i="3"/>
  <c r="B181" i="3"/>
  <c r="B105" i="3"/>
  <c r="B106" i="3"/>
  <c r="B107" i="3"/>
  <c r="B108" i="3"/>
  <c r="B109" i="3"/>
  <c r="B110" i="3"/>
  <c r="B111" i="3"/>
  <c r="B112" i="3"/>
  <c r="B113" i="3"/>
  <c r="B104" i="3"/>
  <c r="C163" i="3"/>
  <c r="C164" i="3"/>
  <c r="C165" i="3"/>
  <c r="C166" i="3"/>
  <c r="C167" i="3"/>
  <c r="C168" i="3"/>
  <c r="C169" i="3"/>
  <c r="C170" i="3"/>
  <c r="C171" i="3"/>
  <c r="C162" i="3"/>
  <c r="B144" i="3"/>
  <c r="B145" i="3"/>
  <c r="B146" i="3"/>
  <c r="B147" i="3"/>
  <c r="B148" i="3"/>
  <c r="B149" i="3"/>
  <c r="B150" i="3"/>
  <c r="B151" i="3"/>
  <c r="B152" i="3"/>
  <c r="B143" i="3"/>
  <c r="G123" i="3"/>
  <c r="G124" i="3"/>
  <c r="G125" i="3"/>
  <c r="G126" i="3"/>
  <c r="G127" i="3"/>
  <c r="G128" i="3"/>
  <c r="G129" i="3"/>
  <c r="G130" i="3"/>
  <c r="G131" i="3"/>
  <c r="G122" i="3"/>
  <c r="B123" i="3"/>
  <c r="B124" i="3"/>
  <c r="B125" i="3"/>
  <c r="B126" i="3"/>
  <c r="B127" i="3"/>
  <c r="B128" i="3"/>
  <c r="B129" i="3"/>
  <c r="B130" i="3"/>
  <c r="B131" i="3"/>
  <c r="B122" i="3"/>
  <c r="C113" i="3"/>
  <c r="C112" i="3"/>
  <c r="C111" i="3"/>
  <c r="C110" i="3"/>
  <c r="C109" i="3"/>
  <c r="C108" i="3"/>
  <c r="C107" i="3"/>
  <c r="C106" i="3"/>
  <c r="C105" i="3"/>
  <c r="C104" i="3"/>
  <c r="C87" i="3"/>
  <c r="C88" i="3"/>
  <c r="C89" i="3"/>
  <c r="C90" i="3"/>
  <c r="C91" i="3"/>
  <c r="C92" i="3"/>
  <c r="C93" i="3"/>
  <c r="C94" i="3"/>
  <c r="C95" i="3"/>
  <c r="C86" i="3"/>
  <c r="B68" i="3"/>
  <c r="B69" i="3"/>
  <c r="B70" i="3"/>
  <c r="B71" i="3"/>
  <c r="B72" i="3"/>
  <c r="B73" i="3"/>
  <c r="B74" i="3"/>
  <c r="B75" i="3"/>
  <c r="B76" i="3"/>
  <c r="B67" i="3"/>
  <c r="D47" i="3"/>
  <c r="D48" i="3"/>
  <c r="D49" i="3"/>
  <c r="D50" i="3"/>
  <c r="D51" i="3"/>
  <c r="D52" i="3"/>
  <c r="D53" i="3"/>
  <c r="D54" i="3"/>
  <c r="D55" i="3"/>
  <c r="D46" i="3"/>
  <c r="B25" i="3" l="1"/>
  <c r="B26" i="3"/>
  <c r="B27" i="3"/>
  <c r="B28" i="3"/>
  <c r="B29" i="3"/>
  <c r="B30" i="3"/>
  <c r="B31" i="3"/>
  <c r="B32" i="3"/>
  <c r="B33" i="3"/>
  <c r="B24" i="3"/>
  <c r="B4" i="3"/>
  <c r="B5" i="3"/>
  <c r="B6" i="3"/>
  <c r="B7" i="3"/>
  <c r="B8" i="3"/>
  <c r="B9" i="3"/>
  <c r="B10" i="3"/>
  <c r="B11" i="3"/>
  <c r="B12" i="3"/>
  <c r="B3" i="3"/>
  <c r="L53" i="2"/>
  <c r="M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1" i="2"/>
  <c r="M61" i="2"/>
  <c r="L62" i="2"/>
  <c r="M62" i="2"/>
  <c r="L63" i="2"/>
  <c r="M63" i="2"/>
  <c r="L64" i="2"/>
  <c r="M64" i="2"/>
  <c r="M52" i="2"/>
  <c r="L52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J53" i="2"/>
  <c r="J54" i="2"/>
  <c r="J55" i="2"/>
  <c r="J56" i="2"/>
  <c r="J57" i="2"/>
  <c r="J58" i="2"/>
  <c r="J59" i="2"/>
  <c r="J60" i="2"/>
  <c r="J61" i="2"/>
  <c r="J62" i="2"/>
  <c r="J63" i="2"/>
  <c r="J64" i="2"/>
  <c r="J52" i="2"/>
  <c r="I53" i="2"/>
  <c r="I54" i="2"/>
  <c r="I55" i="2"/>
  <c r="I56" i="2"/>
  <c r="I57" i="2"/>
  <c r="I58" i="2"/>
  <c r="I59" i="2"/>
  <c r="I60" i="2"/>
  <c r="I61" i="2"/>
  <c r="I62" i="2"/>
  <c r="I63" i="2"/>
  <c r="I64" i="2"/>
  <c r="I52" i="2"/>
  <c r="H53" i="2"/>
  <c r="H54" i="2"/>
  <c r="H55" i="2"/>
  <c r="H56" i="2"/>
  <c r="H57" i="2"/>
  <c r="H58" i="2"/>
  <c r="H59" i="2"/>
  <c r="H60" i="2"/>
  <c r="H61" i="2"/>
  <c r="H62" i="2"/>
  <c r="H63" i="2"/>
  <c r="H64" i="2"/>
  <c r="H52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2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3" i="2"/>
  <c r="J20" i="1"/>
  <c r="J21" i="1"/>
  <c r="J22" i="1"/>
  <c r="J23" i="1"/>
  <c r="J24" i="1"/>
  <c r="J25" i="1"/>
  <c r="J26" i="1"/>
  <c r="J27" i="1"/>
  <c r="J28" i="1"/>
  <c r="J19" i="1"/>
  <c r="I20" i="1"/>
  <c r="I21" i="1"/>
  <c r="I22" i="1"/>
  <c r="I23" i="1"/>
  <c r="I24" i="1"/>
  <c r="I25" i="1"/>
  <c r="I26" i="1"/>
  <c r="I27" i="1"/>
  <c r="I28" i="1"/>
  <c r="I19" i="1"/>
  <c r="H20" i="1"/>
  <c r="H21" i="1"/>
  <c r="H22" i="1"/>
  <c r="H23" i="1"/>
  <c r="H24" i="1"/>
  <c r="H25" i="1"/>
  <c r="H26" i="1"/>
  <c r="H27" i="1"/>
  <c r="H28" i="1"/>
  <c r="H19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<sst xmlns="http://schemas.openxmlformats.org/spreadsheetml/2006/main" count="419" uniqueCount="194">
  <si>
    <t>S NO</t>
  </si>
  <si>
    <t>Student Name</t>
  </si>
  <si>
    <t xml:space="preserve">Hindi </t>
  </si>
  <si>
    <t>English</t>
  </si>
  <si>
    <t>Maths</t>
  </si>
  <si>
    <t>Science</t>
  </si>
  <si>
    <t>Sum</t>
  </si>
  <si>
    <t>Average</t>
  </si>
  <si>
    <t>Maximum</t>
  </si>
  <si>
    <t>Minimum</t>
  </si>
  <si>
    <t>Aarav Sharma</t>
  </si>
  <si>
    <t>Priya Verma</t>
  </si>
  <si>
    <t>Rohan Iyer</t>
  </si>
  <si>
    <t>Kavya Patel</t>
  </si>
  <si>
    <t>Aditya Mehta</t>
  </si>
  <si>
    <t>Sneha Nair</t>
  </si>
  <si>
    <t>Vikram Malhotra</t>
  </si>
  <si>
    <t>Ananya Joshi</t>
  </si>
  <si>
    <t>Rajat Bansal</t>
  </si>
  <si>
    <t>Neha Kapoor</t>
  </si>
  <si>
    <t>Count</t>
  </si>
  <si>
    <t>Count A</t>
  </si>
  <si>
    <t>Count Blank</t>
  </si>
  <si>
    <t>ab</t>
  </si>
  <si>
    <t>S no</t>
  </si>
  <si>
    <t>Names</t>
  </si>
  <si>
    <t>Hindi</t>
  </si>
  <si>
    <t>Total</t>
  </si>
  <si>
    <t>Riya Verma</t>
  </si>
  <si>
    <t>Vivaan Mehta</t>
  </si>
  <si>
    <t>Ananya Iyer</t>
  </si>
  <si>
    <t>Karan Patel</t>
  </si>
  <si>
    <t>Sanya Malhotra</t>
  </si>
  <si>
    <t>Rahul Nair</t>
  </si>
  <si>
    <t>Pooja Deshmukh</t>
  </si>
  <si>
    <t>Aditya Reddy</t>
  </si>
  <si>
    <t>Meera Kapoor</t>
  </si>
  <si>
    <t>Rohan Bansal</t>
  </si>
  <si>
    <t>Ishita Choudhary</t>
  </si>
  <si>
    <t>Arjun Bhardwaj</t>
  </si>
  <si>
    <t>Neha Joshi</t>
  </si>
  <si>
    <t>Kabir Saxena</t>
  </si>
  <si>
    <t>Total Marks</t>
  </si>
  <si>
    <t>%</t>
  </si>
  <si>
    <t>Hindi %</t>
  </si>
  <si>
    <t>English %</t>
  </si>
  <si>
    <t>Maths %</t>
  </si>
  <si>
    <t>Science %</t>
  </si>
  <si>
    <t>Left</t>
  </si>
  <si>
    <t>Prefix</t>
  </si>
  <si>
    <t>Mr. Aarav Sharma</t>
  </si>
  <si>
    <t>Mr. Rohan Iyer</t>
  </si>
  <si>
    <t>Mr. Aditya Mehta</t>
  </si>
  <si>
    <t>Mr. Vikram Malhotra</t>
  </si>
  <si>
    <t>Mr. Rajat Bansal</t>
  </si>
  <si>
    <t>Mr. Suresh Reddy</t>
  </si>
  <si>
    <t>Mr. Arjun Thakur</t>
  </si>
  <si>
    <t>Mr. Kunal Saxena</t>
  </si>
  <si>
    <t>Mr. Siddharth Rao</t>
  </si>
  <si>
    <t>Ms. Manisha Tripathi</t>
  </si>
  <si>
    <t>Right</t>
  </si>
  <si>
    <t>ID</t>
  </si>
  <si>
    <t>Suffix</t>
  </si>
  <si>
    <t>AXP-5678-MNO</t>
  </si>
  <si>
    <t>BTR-8492-KLM</t>
  </si>
  <si>
    <t>CQS-2345-XYZ</t>
  </si>
  <si>
    <t>DYN-6789-PQR</t>
  </si>
  <si>
    <t>EJM-4532-ABC</t>
  </si>
  <si>
    <t>FVK-9102-DEF</t>
  </si>
  <si>
    <t>GWL-3217-GHI</t>
  </si>
  <si>
    <t>HZS-7654-JKL</t>
  </si>
  <si>
    <t>JQP-1876-STU</t>
  </si>
  <si>
    <t>KRM-5923-VWX</t>
  </si>
  <si>
    <t>Mid</t>
  </si>
  <si>
    <t xml:space="preserve">Length </t>
  </si>
  <si>
    <t>CQS-235-XYZ</t>
  </si>
  <si>
    <t>DYN-679-   PQR</t>
  </si>
  <si>
    <t>Trim</t>
  </si>
  <si>
    <t>Unwanted Spaces</t>
  </si>
  <si>
    <t>Mr. Aarav         Sharma</t>
  </si>
  <si>
    <t>Mr. Rohan         Iyer</t>
  </si>
  <si>
    <t>Mr.           Aditya Mehta</t>
  </si>
  <si>
    <t>Mr.          Rajat Bansal</t>
  </si>
  <si>
    <t>Mr.        Suresh Reddy</t>
  </si>
  <si>
    <t>Mr. Arjun          Thakur</t>
  </si>
  <si>
    <t>Mr. Kunal         Saxena</t>
  </si>
  <si>
    <t xml:space="preserve">             Mr. Manish Tripathi</t>
  </si>
  <si>
    <t xml:space="preserve"> </t>
  </si>
  <si>
    <t>Text</t>
  </si>
  <si>
    <t>Birth dates</t>
  </si>
  <si>
    <t>Days</t>
  </si>
  <si>
    <t>14-06-1996</t>
  </si>
  <si>
    <t>23-09-1998</t>
  </si>
  <si>
    <t>18-04-1995</t>
  </si>
  <si>
    <t>30-07-2003</t>
  </si>
  <si>
    <t>25-05-1999</t>
  </si>
  <si>
    <t>19-08-2004</t>
  </si>
  <si>
    <t>Lower</t>
  </si>
  <si>
    <t>Small Letters</t>
  </si>
  <si>
    <t>Mr. Manish Tripathi</t>
  </si>
  <si>
    <t>Proper</t>
  </si>
  <si>
    <t>Sentence Case</t>
  </si>
  <si>
    <t>MR. AARAV SHARMA</t>
  </si>
  <si>
    <t>MR. ROHAN IYER</t>
  </si>
  <si>
    <t>MR. ADITYA MEHTA</t>
  </si>
  <si>
    <t>MR. VIKRAM MALHOTRA</t>
  </si>
  <si>
    <t>MR. RAJAT BANSAL</t>
  </si>
  <si>
    <t>MR. SURESH REDDY</t>
  </si>
  <si>
    <t>MR. ARJUN THAKUR</t>
  </si>
  <si>
    <t>MR. KUNAL SAXENA</t>
  </si>
  <si>
    <t>MR. SIDDHARTH RAO</t>
  </si>
  <si>
    <t>MR. MANISH TRIPATHI</t>
  </si>
  <si>
    <t>Text Join</t>
  </si>
  <si>
    <t>FlashFill (Ctrl E)</t>
  </si>
  <si>
    <t>First Name</t>
  </si>
  <si>
    <t>Last Name</t>
  </si>
  <si>
    <t>Full Name</t>
  </si>
  <si>
    <t>Aarav</t>
  </si>
  <si>
    <t>Sharma</t>
  </si>
  <si>
    <t xml:space="preserve">Aarav </t>
  </si>
  <si>
    <t>Rohan</t>
  </si>
  <si>
    <t>Iyer</t>
  </si>
  <si>
    <t>Aditya</t>
  </si>
  <si>
    <t>Mehta</t>
  </si>
  <si>
    <t>Vikram</t>
  </si>
  <si>
    <t>Malhotra</t>
  </si>
  <si>
    <t>Rajat</t>
  </si>
  <si>
    <t>Bansal</t>
  </si>
  <si>
    <t>Suresh</t>
  </si>
  <si>
    <t>Reddy</t>
  </si>
  <si>
    <t>Suresh Reddy</t>
  </si>
  <si>
    <t>Arjun</t>
  </si>
  <si>
    <t>Thakur</t>
  </si>
  <si>
    <t>Arjun Thakur</t>
  </si>
  <si>
    <t>Kunal</t>
  </si>
  <si>
    <t>Saxena</t>
  </si>
  <si>
    <t>Kunal Saxena</t>
  </si>
  <si>
    <t>Siddharth</t>
  </si>
  <si>
    <t>Rao</t>
  </si>
  <si>
    <t>Siddharth Rao</t>
  </si>
  <si>
    <t>Manish</t>
  </si>
  <si>
    <t>Tripathi</t>
  </si>
  <si>
    <t>Manish Tripathi</t>
  </si>
  <si>
    <t>Upper</t>
  </si>
  <si>
    <t>Capital Letters</t>
  </si>
  <si>
    <t>Change</t>
  </si>
  <si>
    <t>Current Date</t>
  </si>
  <si>
    <t>Current Time</t>
  </si>
  <si>
    <t>Date</t>
  </si>
  <si>
    <t>Day</t>
  </si>
  <si>
    <t>Month</t>
  </si>
  <si>
    <t>Year</t>
  </si>
  <si>
    <t>Holidays</t>
  </si>
  <si>
    <t>Start Date</t>
  </si>
  <si>
    <t>End Date</t>
  </si>
  <si>
    <t>Days360</t>
  </si>
  <si>
    <t>Networkdays</t>
  </si>
  <si>
    <t>Networkdays (holidays)</t>
  </si>
  <si>
    <t>Networkdays.intl</t>
  </si>
  <si>
    <t>Networkdays.intl (HOLIDAY)</t>
  </si>
  <si>
    <t>Months</t>
  </si>
  <si>
    <t>Edate</t>
  </si>
  <si>
    <t>Eomonth</t>
  </si>
  <si>
    <t>Workday</t>
  </si>
  <si>
    <t>Workday (holiday)</t>
  </si>
  <si>
    <t>Workday.intl</t>
  </si>
  <si>
    <t>Workday.intl (holiday)</t>
  </si>
  <si>
    <t>Time</t>
  </si>
  <si>
    <t>Hour</t>
  </si>
  <si>
    <t>Minute</t>
  </si>
  <si>
    <t>Second</t>
  </si>
  <si>
    <t>Status</t>
  </si>
  <si>
    <t>Party Name</t>
  </si>
  <si>
    <t>Amount</t>
  </si>
  <si>
    <t>A</t>
  </si>
  <si>
    <t>B</t>
  </si>
  <si>
    <t>C</t>
  </si>
  <si>
    <t>D</t>
  </si>
  <si>
    <t>E</t>
  </si>
  <si>
    <t>F</t>
  </si>
  <si>
    <t>G</t>
  </si>
  <si>
    <t>H</t>
  </si>
  <si>
    <t>Employee</t>
  </si>
  <si>
    <t>Experience (Years)</t>
  </si>
  <si>
    <t>Performance Rating</t>
  </si>
  <si>
    <t>Bonus Eligibility</t>
  </si>
  <si>
    <t>and</t>
  </si>
  <si>
    <t>or</t>
  </si>
  <si>
    <t>if</t>
  </si>
  <si>
    <t>Rank</t>
  </si>
  <si>
    <t>a</t>
  </si>
  <si>
    <t>Round</t>
  </si>
  <si>
    <t>Round Up</t>
  </si>
  <si>
    <t>Round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</si>
</sst>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$-F400]h:mm:ss\ AM/PM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9" fontId="0" fillId="6" borderId="1" xfId="1" applyFont="1" applyFill="1" applyBorder="1" applyAlignment="1">
      <alignment horizontal="center" vertical="center"/>
    </xf>
    <xf numFmtId="0" fontId="5" fillId="12" borderId="25" xfId="0" applyFont="1" applyFill="1" applyBorder="1" applyAlignment="1">
      <alignment horizontal="center" vertical="center"/>
    </xf>
    <xf numFmtId="9" fontId="0" fillId="7" borderId="1" xfId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4" fontId="0" fillId="0" borderId="0" xfId="0" applyNumberFormat="1"/>
    <xf numFmtId="0" fontId="0" fillId="0" borderId="6" xfId="0" applyBorder="1" applyAlignment="1">
      <alignment horizontal="center" vertical="center"/>
    </xf>
    <xf numFmtId="14" fontId="0" fillId="6" borderId="5" xfId="0" applyNumberFormat="1" applyFill="1" applyBorder="1" applyAlignment="1">
      <alignment horizontal="center" vertical="center"/>
    </xf>
    <xf numFmtId="14" fontId="0" fillId="6" borderId="7" xfId="0" applyNumberForma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4" fontId="0" fillId="13" borderId="5" xfId="0" applyNumberFormat="1" applyFill="1" applyBorder="1" applyAlignment="1">
      <alignment horizontal="center" vertical="center"/>
    </xf>
    <xf numFmtId="14" fontId="0" fillId="13" borderId="7" xfId="0" applyNumberForma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7" borderId="8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12" borderId="23" xfId="0" applyFont="1" applyFill="1" applyBorder="1" applyAlignment="1">
      <alignment horizontal="center" vertical="center"/>
    </xf>
    <xf numFmtId="14" fontId="0" fillId="13" borderId="24" xfId="0" applyNumberFormat="1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 vertical="center"/>
    </xf>
    <xf numFmtId="21" fontId="0" fillId="6" borderId="5" xfId="0" applyNumberFormat="1" applyFill="1" applyBorder="1" applyAlignment="1">
      <alignment horizontal="center" vertical="center"/>
    </xf>
    <xf numFmtId="21" fontId="0" fillId="6" borderId="7" xfId="0" applyNumberFormat="1" applyFill="1" applyBorder="1" applyAlignment="1">
      <alignment horizontal="center" vertical="center"/>
    </xf>
    <xf numFmtId="18" fontId="0" fillId="0" borderId="0" xfId="0" applyNumberFormat="1"/>
    <xf numFmtId="0" fontId="0" fillId="0" borderId="21" xfId="0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center"/>
    </xf>
    <xf numFmtId="0" fontId="3" fillId="14" borderId="16" xfId="0" applyFont="1" applyFill="1" applyBorder="1" applyAlignment="1">
      <alignment horizontal="center"/>
    </xf>
    <xf numFmtId="0" fontId="3" fillId="14" borderId="10" xfId="0" applyFont="1" applyFill="1" applyBorder="1" applyAlignment="1">
      <alignment horizontal="center"/>
    </xf>
    <xf numFmtId="0" fontId="3" fillId="14" borderId="2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14" fontId="0" fillId="14" borderId="9" xfId="0" applyNumberForma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22" xfId="0" applyFill="1" applyBorder="1" applyAlignment="1">
      <alignment horizontal="center"/>
    </xf>
    <xf numFmtId="165" fontId="0" fillId="14" borderId="9" xfId="0" applyNumberFormat="1" applyFill="1" applyBorder="1" applyAlignment="1">
      <alignment horizontal="center"/>
    </xf>
    <xf numFmtId="165" fontId="0" fillId="14" borderId="10" xfId="0" applyNumberFormat="1" applyFill="1" applyBorder="1" applyAlignment="1">
      <alignment horizontal="center"/>
    </xf>
    <xf numFmtId="165" fontId="0" fillId="14" borderId="22" xfId="0" applyNumberFormat="1" applyFill="1" applyBorder="1" applyAlignment="1">
      <alignment horizontal="center"/>
    </xf>
    <xf numFmtId="0" fontId="5" fillId="12" borderId="27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9" fontId="0" fillId="13" borderId="21" xfId="1" applyFont="1" applyFill="1" applyBorder="1" applyAlignment="1">
      <alignment horizontal="center" vertical="center"/>
    </xf>
    <xf numFmtId="9" fontId="0" fillId="7" borderId="6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1" borderId="0" xfId="0" applyFill="1"/>
    <xf numFmtId="0" fontId="0" fillId="6" borderId="6" xfId="1" applyNumberFormat="1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5408-2682-46AC-BC8E-BB089161106D}">
  <sheetPr>
    <tabColor theme="5" tint="0.39997558519241921"/>
  </sheetPr>
  <dimension ref="A1:J28"/>
  <sheetViews>
    <sheetView topLeftCell="B3" workbookViewId="0">
      <selection activeCell="L23" sqref="L23"/>
    </sheetView>
  </sheetViews>
  <sheetFormatPr defaultRowHeight="14.4" x14ac:dyDescent="0.3"/>
  <cols>
    <col min="2" max="3" width="14.77734375" bestFit="1" customWidth="1"/>
    <col min="4" max="5" width="7.5546875" bestFit="1" customWidth="1"/>
    <col min="6" max="7" width="7.77734375" bestFit="1" customWidth="1"/>
    <col min="8" max="8" width="8.44140625" bestFit="1" customWidth="1"/>
    <col min="9" max="9" width="10.33203125" bestFit="1" customWidth="1"/>
    <col min="10" max="10" width="12.44140625" bestFit="1" customWidth="1"/>
  </cols>
  <sheetData>
    <row r="1" spans="1:10" ht="15.6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0" t="s">
        <v>6</v>
      </c>
      <c r="H1" s="11" t="s">
        <v>7</v>
      </c>
      <c r="I1" s="12" t="s">
        <v>8</v>
      </c>
      <c r="J1" s="13" t="s">
        <v>9</v>
      </c>
    </row>
    <row r="2" spans="1:10" ht="15.6" x14ac:dyDescent="0.3">
      <c r="A2" s="2">
        <v>1</v>
      </c>
      <c r="B2" s="5" t="s">
        <v>10</v>
      </c>
      <c r="C2" s="1">
        <v>90</v>
      </c>
      <c r="D2" s="1">
        <v>27</v>
      </c>
      <c r="E2" s="1">
        <v>10</v>
      </c>
      <c r="F2" s="1">
        <v>47</v>
      </c>
      <c r="G2" s="9">
        <f>SUM(C2:F2)</f>
        <v>174</v>
      </c>
      <c r="H2" s="14">
        <f>AVERAGE(C2:F2)</f>
        <v>43.5</v>
      </c>
      <c r="I2" s="15">
        <f>MAX(C2:F2)</f>
        <v>90</v>
      </c>
      <c r="J2" s="16">
        <f>MIN(C2:F2)</f>
        <v>10</v>
      </c>
    </row>
    <row r="3" spans="1:10" ht="15.6" x14ac:dyDescent="0.3">
      <c r="A3" s="2">
        <v>2</v>
      </c>
      <c r="B3" s="5" t="s">
        <v>11</v>
      </c>
      <c r="C3" s="1">
        <v>17</v>
      </c>
      <c r="D3" s="1">
        <v>84</v>
      </c>
      <c r="E3" s="1">
        <v>0</v>
      </c>
      <c r="F3" s="1">
        <v>49</v>
      </c>
      <c r="G3" s="9">
        <f t="shared" ref="G3:G11" si="0">SUM(C3:F3)</f>
        <v>150</v>
      </c>
      <c r="H3" s="14">
        <f t="shared" ref="H3:H11" si="1">AVERAGE(C3:F3)</f>
        <v>37.5</v>
      </c>
      <c r="I3" s="15">
        <f t="shared" ref="I3:I11" si="2">MAX(C3:F3)</f>
        <v>84</v>
      </c>
      <c r="J3" s="16">
        <f t="shared" ref="J3:J11" si="3">MIN(C3:F3)</f>
        <v>0</v>
      </c>
    </row>
    <row r="4" spans="1:10" ht="15.6" x14ac:dyDescent="0.3">
      <c r="A4" s="2">
        <v>3</v>
      </c>
      <c r="B4" s="5" t="s">
        <v>12</v>
      </c>
      <c r="C4" s="1">
        <v>35</v>
      </c>
      <c r="D4" s="1">
        <v>8</v>
      </c>
      <c r="E4" s="1">
        <v>32</v>
      </c>
      <c r="F4" s="1">
        <v>33</v>
      </c>
      <c r="G4" s="9">
        <f t="shared" si="0"/>
        <v>108</v>
      </c>
      <c r="H4" s="14">
        <f t="shared" si="1"/>
        <v>27</v>
      </c>
      <c r="I4" s="15">
        <f t="shared" si="2"/>
        <v>35</v>
      </c>
      <c r="J4" s="16">
        <f t="shared" si="3"/>
        <v>8</v>
      </c>
    </row>
    <row r="5" spans="1:10" ht="15.6" x14ac:dyDescent="0.3">
      <c r="A5" s="2">
        <v>4</v>
      </c>
      <c r="B5" s="5" t="s">
        <v>13</v>
      </c>
      <c r="C5" s="1">
        <v>83</v>
      </c>
      <c r="D5" s="1">
        <v>35</v>
      </c>
      <c r="E5" s="1">
        <v>26</v>
      </c>
      <c r="F5" s="1">
        <v>18</v>
      </c>
      <c r="G5" s="9">
        <f t="shared" si="0"/>
        <v>162</v>
      </c>
      <c r="H5" s="14">
        <f t="shared" si="1"/>
        <v>40.5</v>
      </c>
      <c r="I5" s="15">
        <f t="shared" si="2"/>
        <v>83</v>
      </c>
      <c r="J5" s="16">
        <f t="shared" si="3"/>
        <v>18</v>
      </c>
    </row>
    <row r="6" spans="1:10" ht="15.6" x14ac:dyDescent="0.3">
      <c r="A6" s="2">
        <v>5</v>
      </c>
      <c r="B6" s="5" t="s">
        <v>14</v>
      </c>
      <c r="C6" s="1">
        <v>74</v>
      </c>
      <c r="D6" s="1">
        <v>68</v>
      </c>
      <c r="E6" s="1">
        <v>27</v>
      </c>
      <c r="F6" s="1">
        <v>32</v>
      </c>
      <c r="G6" s="9">
        <f t="shared" si="0"/>
        <v>201</v>
      </c>
      <c r="H6" s="14">
        <f t="shared" si="1"/>
        <v>50.25</v>
      </c>
      <c r="I6" s="15">
        <f t="shared" si="2"/>
        <v>74</v>
      </c>
      <c r="J6" s="16">
        <f t="shared" si="3"/>
        <v>27</v>
      </c>
    </row>
    <row r="7" spans="1:10" ht="15.6" x14ac:dyDescent="0.3">
      <c r="A7" s="2">
        <v>6</v>
      </c>
      <c r="B7" s="5" t="s">
        <v>15</v>
      </c>
      <c r="C7" s="1">
        <v>34</v>
      </c>
      <c r="D7" s="1">
        <v>63</v>
      </c>
      <c r="E7" s="1">
        <v>73</v>
      </c>
      <c r="F7" s="1">
        <v>87</v>
      </c>
      <c r="G7" s="9">
        <f t="shared" si="0"/>
        <v>257</v>
      </c>
      <c r="H7" s="14">
        <f t="shared" si="1"/>
        <v>64.25</v>
      </c>
      <c r="I7" s="15">
        <f t="shared" si="2"/>
        <v>87</v>
      </c>
      <c r="J7" s="16">
        <f t="shared" si="3"/>
        <v>34</v>
      </c>
    </row>
    <row r="8" spans="1:10" ht="15.6" x14ac:dyDescent="0.3">
      <c r="A8" s="2">
        <v>7</v>
      </c>
      <c r="B8" s="5" t="s">
        <v>16</v>
      </c>
      <c r="C8" s="1">
        <v>34</v>
      </c>
      <c r="D8" s="1">
        <v>15</v>
      </c>
      <c r="E8" s="1">
        <v>63</v>
      </c>
      <c r="F8" s="1">
        <v>51</v>
      </c>
      <c r="G8" s="9">
        <f t="shared" si="0"/>
        <v>163</v>
      </c>
      <c r="H8" s="14">
        <f t="shared" si="1"/>
        <v>40.75</v>
      </c>
      <c r="I8" s="15">
        <f t="shared" si="2"/>
        <v>63</v>
      </c>
      <c r="J8" s="16">
        <f t="shared" si="3"/>
        <v>15</v>
      </c>
    </row>
    <row r="9" spans="1:10" ht="15.6" x14ac:dyDescent="0.3">
      <c r="A9" s="2">
        <v>8</v>
      </c>
      <c r="B9" s="5" t="s">
        <v>17</v>
      </c>
      <c r="C9" s="1">
        <v>65</v>
      </c>
      <c r="D9" s="1">
        <v>69</v>
      </c>
      <c r="E9" s="1">
        <v>54</v>
      </c>
      <c r="F9" s="1">
        <v>0</v>
      </c>
      <c r="G9" s="9">
        <f t="shared" si="0"/>
        <v>188</v>
      </c>
      <c r="H9" s="14">
        <f t="shared" si="1"/>
        <v>47</v>
      </c>
      <c r="I9" s="15">
        <f t="shared" si="2"/>
        <v>69</v>
      </c>
      <c r="J9" s="16">
        <f t="shared" si="3"/>
        <v>0</v>
      </c>
    </row>
    <row r="10" spans="1:10" ht="15.6" x14ac:dyDescent="0.3">
      <c r="A10" s="2">
        <v>9</v>
      </c>
      <c r="B10" s="5" t="s">
        <v>18</v>
      </c>
      <c r="C10" s="1">
        <v>61</v>
      </c>
      <c r="D10" s="1">
        <v>13</v>
      </c>
      <c r="E10" s="1">
        <v>85</v>
      </c>
      <c r="F10" s="1">
        <v>60</v>
      </c>
      <c r="G10" s="9">
        <f t="shared" si="0"/>
        <v>219</v>
      </c>
      <c r="H10" s="14">
        <f t="shared" si="1"/>
        <v>54.75</v>
      </c>
      <c r="I10" s="15">
        <f t="shared" si="2"/>
        <v>85</v>
      </c>
      <c r="J10" s="16">
        <f t="shared" si="3"/>
        <v>13</v>
      </c>
    </row>
    <row r="11" spans="1:10" ht="16.2" thickBot="1" x14ac:dyDescent="0.35">
      <c r="A11" s="3">
        <v>10</v>
      </c>
      <c r="B11" s="6" t="s">
        <v>19</v>
      </c>
      <c r="C11" s="4">
        <v>82</v>
      </c>
      <c r="D11" s="4">
        <v>53</v>
      </c>
      <c r="E11" s="4">
        <v>75</v>
      </c>
      <c r="F11" s="4">
        <v>25</v>
      </c>
      <c r="G11" s="9">
        <f t="shared" si="0"/>
        <v>235</v>
      </c>
      <c r="H11" s="14">
        <f t="shared" si="1"/>
        <v>58.75</v>
      </c>
      <c r="I11" s="15">
        <f t="shared" si="2"/>
        <v>82</v>
      </c>
      <c r="J11" s="16">
        <f t="shared" si="3"/>
        <v>25</v>
      </c>
    </row>
    <row r="17" spans="2:10" ht="15" thickBot="1" x14ac:dyDescent="0.35"/>
    <row r="18" spans="2:10" ht="15.6" x14ac:dyDescent="0.3">
      <c r="B18" s="7" t="s">
        <v>0</v>
      </c>
      <c r="C18" s="8" t="s">
        <v>1</v>
      </c>
      <c r="D18" s="8" t="s">
        <v>2</v>
      </c>
      <c r="E18" s="8" t="s">
        <v>3</v>
      </c>
      <c r="F18" s="8" t="s">
        <v>4</v>
      </c>
      <c r="G18" s="8" t="s">
        <v>5</v>
      </c>
      <c r="H18" s="10" t="s">
        <v>20</v>
      </c>
      <c r="I18" s="11" t="s">
        <v>21</v>
      </c>
      <c r="J18" s="17" t="s">
        <v>22</v>
      </c>
    </row>
    <row r="19" spans="2:10" ht="15.6" x14ac:dyDescent="0.3">
      <c r="B19" s="2">
        <v>1</v>
      </c>
      <c r="C19" s="5" t="s">
        <v>10</v>
      </c>
      <c r="D19" s="1">
        <v>90</v>
      </c>
      <c r="E19" s="1" t="s">
        <v>23</v>
      </c>
      <c r="F19" s="1">
        <v>10</v>
      </c>
      <c r="G19" s="1">
        <v>47</v>
      </c>
      <c r="H19" s="9">
        <f>COUNT(D19:G19)</f>
        <v>3</v>
      </c>
      <c r="I19" s="14">
        <f>COUNTA(D19:G19)</f>
        <v>4</v>
      </c>
      <c r="J19" s="18">
        <f>COUNTBLANK(D19:G19)</f>
        <v>0</v>
      </c>
    </row>
    <row r="20" spans="2:10" ht="15.6" x14ac:dyDescent="0.3">
      <c r="B20" s="2">
        <v>2</v>
      </c>
      <c r="C20" s="5" t="s">
        <v>11</v>
      </c>
      <c r="D20" s="1">
        <v>17</v>
      </c>
      <c r="E20" s="1">
        <v>84</v>
      </c>
      <c r="F20" s="1">
        <v>0</v>
      </c>
      <c r="G20" s="1">
        <v>49</v>
      </c>
      <c r="H20" s="9">
        <f t="shared" ref="H20:H28" si="4">COUNT(D20:G20)</f>
        <v>4</v>
      </c>
      <c r="I20" s="14">
        <f t="shared" ref="I20:I28" si="5">COUNTA(D20:G20)</f>
        <v>4</v>
      </c>
      <c r="J20" s="18">
        <f t="shared" ref="J20:J28" si="6">COUNTBLANK(D20:G20)</f>
        <v>0</v>
      </c>
    </row>
    <row r="21" spans="2:10" ht="15.6" x14ac:dyDescent="0.3">
      <c r="B21" s="2">
        <v>3</v>
      </c>
      <c r="C21" s="5" t="s">
        <v>12</v>
      </c>
      <c r="D21" s="1">
        <v>35</v>
      </c>
      <c r="E21" s="1" t="s">
        <v>23</v>
      </c>
      <c r="F21" s="1"/>
      <c r="G21" s="1">
        <v>33</v>
      </c>
      <c r="H21" s="9">
        <f t="shared" si="4"/>
        <v>2</v>
      </c>
      <c r="I21" s="14">
        <f t="shared" si="5"/>
        <v>3</v>
      </c>
      <c r="J21" s="18">
        <f t="shared" si="6"/>
        <v>1</v>
      </c>
    </row>
    <row r="22" spans="2:10" ht="15.6" x14ac:dyDescent="0.3">
      <c r="B22" s="2">
        <v>4</v>
      </c>
      <c r="C22" s="5" t="s">
        <v>13</v>
      </c>
      <c r="D22" s="1">
        <v>83</v>
      </c>
      <c r="E22" s="1" t="s">
        <v>23</v>
      </c>
      <c r="F22" s="1" t="s">
        <v>23</v>
      </c>
      <c r="G22" s="1">
        <v>18</v>
      </c>
      <c r="H22" s="9">
        <f t="shared" si="4"/>
        <v>2</v>
      </c>
      <c r="I22" s="14">
        <f t="shared" si="5"/>
        <v>4</v>
      </c>
      <c r="J22" s="18">
        <f t="shared" si="6"/>
        <v>0</v>
      </c>
    </row>
    <row r="23" spans="2:10" ht="15.6" x14ac:dyDescent="0.3">
      <c r="B23" s="2">
        <v>5</v>
      </c>
      <c r="C23" s="5" t="s">
        <v>14</v>
      </c>
      <c r="D23" s="1">
        <v>74</v>
      </c>
      <c r="E23" s="1"/>
      <c r="F23" s="1">
        <v>27</v>
      </c>
      <c r="G23" s="1">
        <v>32</v>
      </c>
      <c r="H23" s="9">
        <f t="shared" si="4"/>
        <v>3</v>
      </c>
      <c r="I23" s="14">
        <f t="shared" si="5"/>
        <v>3</v>
      </c>
      <c r="J23" s="18">
        <f t="shared" si="6"/>
        <v>1</v>
      </c>
    </row>
    <row r="24" spans="2:10" ht="15.6" x14ac:dyDescent="0.3">
      <c r="B24" s="2">
        <v>6</v>
      </c>
      <c r="C24" s="5" t="s">
        <v>15</v>
      </c>
      <c r="D24" s="1">
        <v>34</v>
      </c>
      <c r="E24" s="1">
        <v>63</v>
      </c>
      <c r="F24" s="1">
        <v>73</v>
      </c>
      <c r="G24" s="1">
        <v>87</v>
      </c>
      <c r="H24" s="9">
        <f t="shared" si="4"/>
        <v>4</v>
      </c>
      <c r="I24" s="14">
        <f t="shared" si="5"/>
        <v>4</v>
      </c>
      <c r="J24" s="18">
        <f t="shared" si="6"/>
        <v>0</v>
      </c>
    </row>
    <row r="25" spans="2:10" ht="15.6" x14ac:dyDescent="0.3">
      <c r="B25" s="2">
        <v>7</v>
      </c>
      <c r="C25" s="5" t="s">
        <v>16</v>
      </c>
      <c r="D25" s="1">
        <v>34</v>
      </c>
      <c r="E25" s="1">
        <v>5</v>
      </c>
      <c r="F25" s="1"/>
      <c r="G25" s="1">
        <v>51</v>
      </c>
      <c r="H25" s="9">
        <f t="shared" si="4"/>
        <v>3</v>
      </c>
      <c r="I25" s="14">
        <f t="shared" si="5"/>
        <v>3</v>
      </c>
      <c r="J25" s="18">
        <f t="shared" si="6"/>
        <v>1</v>
      </c>
    </row>
    <row r="26" spans="2:10" ht="15.6" x14ac:dyDescent="0.3">
      <c r="B26" s="2">
        <v>8</v>
      </c>
      <c r="C26" s="5" t="s">
        <v>17</v>
      </c>
      <c r="D26" s="1">
        <v>65</v>
      </c>
      <c r="E26" s="1" t="s">
        <v>23</v>
      </c>
      <c r="F26" s="1">
        <v>54</v>
      </c>
      <c r="G26" s="1">
        <v>0</v>
      </c>
      <c r="H26" s="9">
        <f t="shared" si="4"/>
        <v>3</v>
      </c>
      <c r="I26" s="14">
        <f t="shared" si="5"/>
        <v>4</v>
      </c>
      <c r="J26" s="18">
        <f t="shared" si="6"/>
        <v>0</v>
      </c>
    </row>
    <row r="27" spans="2:10" ht="15.6" x14ac:dyDescent="0.3">
      <c r="B27" s="2">
        <v>9</v>
      </c>
      <c r="C27" s="5" t="s">
        <v>18</v>
      </c>
      <c r="D27" s="1">
        <v>61</v>
      </c>
      <c r="E27" s="1">
        <v>13</v>
      </c>
      <c r="F27" s="1"/>
      <c r="G27" s="1">
        <v>60</v>
      </c>
      <c r="H27" s="9">
        <f t="shared" si="4"/>
        <v>3</v>
      </c>
      <c r="I27" s="14">
        <f t="shared" si="5"/>
        <v>3</v>
      </c>
      <c r="J27" s="18">
        <f t="shared" si="6"/>
        <v>1</v>
      </c>
    </row>
    <row r="28" spans="2:10" ht="16.2" thickBot="1" x14ac:dyDescent="0.35">
      <c r="B28" s="3">
        <v>10</v>
      </c>
      <c r="C28" s="6" t="s">
        <v>19</v>
      </c>
      <c r="D28" s="4">
        <v>82</v>
      </c>
      <c r="E28" s="4" t="s">
        <v>23</v>
      </c>
      <c r="F28" s="4">
        <v>75</v>
      </c>
      <c r="G28" s="4">
        <v>25</v>
      </c>
      <c r="H28" s="9">
        <f t="shared" si="4"/>
        <v>3</v>
      </c>
      <c r="I28" s="14">
        <f t="shared" si="5"/>
        <v>4</v>
      </c>
      <c r="J28" s="18">
        <f t="shared" si="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142A-C4C8-46C2-A455-5AAE7C462A6B}">
  <dimension ref="B1:M64"/>
  <sheetViews>
    <sheetView topLeftCell="A46" workbookViewId="0">
      <selection activeCell="P64" sqref="P64"/>
    </sheetView>
  </sheetViews>
  <sheetFormatPr defaultRowHeight="14.4" x14ac:dyDescent="0.3"/>
  <cols>
    <col min="3" max="3" width="14.77734375" bestFit="1" customWidth="1"/>
  </cols>
  <sheetData>
    <row r="1" spans="2:8" ht="15" thickBot="1" x14ac:dyDescent="0.35"/>
    <row r="2" spans="2:8" ht="15.6" x14ac:dyDescent="0.3">
      <c r="B2" s="19" t="s">
        <v>24</v>
      </c>
      <c r="C2" s="20" t="s">
        <v>25</v>
      </c>
      <c r="D2" s="20" t="s">
        <v>26</v>
      </c>
      <c r="E2" s="20" t="s">
        <v>3</v>
      </c>
      <c r="F2" s="20" t="s">
        <v>4</v>
      </c>
      <c r="G2" s="20" t="s">
        <v>5</v>
      </c>
      <c r="H2" s="20" t="s">
        <v>27</v>
      </c>
    </row>
    <row r="3" spans="2:8" x14ac:dyDescent="0.3">
      <c r="B3" s="21">
        <v>1</v>
      </c>
      <c r="C3" s="5" t="s">
        <v>10</v>
      </c>
      <c r="D3" s="5">
        <v>41</v>
      </c>
      <c r="E3" s="5">
        <v>39</v>
      </c>
      <c r="F3" s="5">
        <v>75</v>
      </c>
      <c r="G3" s="5">
        <v>34</v>
      </c>
      <c r="H3" s="22">
        <f>SUM(D3:G3)</f>
        <v>189</v>
      </c>
    </row>
    <row r="4" spans="2:8" x14ac:dyDescent="0.3">
      <c r="B4" s="21">
        <v>2</v>
      </c>
      <c r="C4" s="5" t="s">
        <v>28</v>
      </c>
      <c r="D4" s="5">
        <v>67</v>
      </c>
      <c r="E4" s="5">
        <v>57</v>
      </c>
      <c r="F4" s="5">
        <v>73</v>
      </c>
      <c r="G4" s="5">
        <v>47</v>
      </c>
      <c r="H4" s="22">
        <f t="shared" ref="H4:H17" si="0">SUM(D4:G4)</f>
        <v>244</v>
      </c>
    </row>
    <row r="5" spans="2:8" x14ac:dyDescent="0.3">
      <c r="B5" s="21">
        <v>3</v>
      </c>
      <c r="C5" s="5" t="s">
        <v>29</v>
      </c>
      <c r="D5" s="5">
        <v>22</v>
      </c>
      <c r="E5" s="5">
        <v>77</v>
      </c>
      <c r="F5" s="5">
        <v>29</v>
      </c>
      <c r="G5" s="5">
        <v>93</v>
      </c>
      <c r="H5" s="22">
        <f t="shared" si="0"/>
        <v>221</v>
      </c>
    </row>
    <row r="6" spans="2:8" x14ac:dyDescent="0.3">
      <c r="B6" s="21">
        <v>4</v>
      </c>
      <c r="C6" s="5" t="s">
        <v>30</v>
      </c>
      <c r="D6" s="5">
        <v>58</v>
      </c>
      <c r="E6" s="5">
        <v>80</v>
      </c>
      <c r="F6" s="5">
        <v>28</v>
      </c>
      <c r="G6" s="5">
        <v>92</v>
      </c>
      <c r="H6" s="22">
        <f t="shared" si="0"/>
        <v>258</v>
      </c>
    </row>
    <row r="7" spans="2:8" x14ac:dyDescent="0.3">
      <c r="B7" s="21">
        <v>5</v>
      </c>
      <c r="C7" s="5" t="s">
        <v>31</v>
      </c>
      <c r="D7" s="5">
        <v>89</v>
      </c>
      <c r="E7" s="5">
        <v>69</v>
      </c>
      <c r="F7" s="5">
        <v>92</v>
      </c>
      <c r="G7" s="5">
        <v>25</v>
      </c>
      <c r="H7" s="22">
        <f t="shared" si="0"/>
        <v>275</v>
      </c>
    </row>
    <row r="8" spans="2:8" x14ac:dyDescent="0.3">
      <c r="B8" s="21">
        <v>6</v>
      </c>
      <c r="C8" s="5" t="s">
        <v>32</v>
      </c>
      <c r="D8" s="5">
        <v>43</v>
      </c>
      <c r="E8" s="5">
        <v>20</v>
      </c>
      <c r="F8" s="5">
        <v>66</v>
      </c>
      <c r="G8" s="5">
        <v>50</v>
      </c>
      <c r="H8" s="22">
        <f t="shared" si="0"/>
        <v>179</v>
      </c>
    </row>
    <row r="9" spans="2:8" x14ac:dyDescent="0.3">
      <c r="B9" s="21">
        <v>7</v>
      </c>
      <c r="C9" s="5" t="s">
        <v>33</v>
      </c>
      <c r="D9" s="5">
        <v>21</v>
      </c>
      <c r="E9" s="5">
        <v>27</v>
      </c>
      <c r="F9" s="5">
        <v>70</v>
      </c>
      <c r="G9" s="5">
        <v>53</v>
      </c>
      <c r="H9" s="22">
        <f t="shared" si="0"/>
        <v>171</v>
      </c>
    </row>
    <row r="10" spans="2:8" x14ac:dyDescent="0.3">
      <c r="B10" s="21">
        <v>8</v>
      </c>
      <c r="C10" s="5" t="s">
        <v>34</v>
      </c>
      <c r="D10" s="5">
        <v>21</v>
      </c>
      <c r="E10" s="5">
        <v>35</v>
      </c>
      <c r="F10" s="5">
        <v>36</v>
      </c>
      <c r="G10" s="5">
        <v>41</v>
      </c>
      <c r="H10" s="22">
        <f t="shared" si="0"/>
        <v>133</v>
      </c>
    </row>
    <row r="11" spans="2:8" x14ac:dyDescent="0.3">
      <c r="B11" s="21">
        <v>9</v>
      </c>
      <c r="C11" s="5" t="s">
        <v>35</v>
      </c>
      <c r="D11" s="5">
        <v>61</v>
      </c>
      <c r="E11" s="5">
        <v>19</v>
      </c>
      <c r="F11" s="5">
        <v>25</v>
      </c>
      <c r="G11" s="5">
        <v>73</v>
      </c>
      <c r="H11" s="22">
        <f t="shared" si="0"/>
        <v>178</v>
      </c>
    </row>
    <row r="12" spans="2:8" x14ac:dyDescent="0.3">
      <c r="B12" s="21">
        <v>10</v>
      </c>
      <c r="C12" s="5" t="s">
        <v>36</v>
      </c>
      <c r="D12" s="5">
        <v>69</v>
      </c>
      <c r="E12" s="5">
        <v>32</v>
      </c>
      <c r="F12" s="5">
        <v>59</v>
      </c>
      <c r="G12" s="5">
        <v>41</v>
      </c>
      <c r="H12" s="22">
        <f t="shared" si="0"/>
        <v>201</v>
      </c>
    </row>
    <row r="13" spans="2:8" x14ac:dyDescent="0.3">
      <c r="B13" s="21">
        <v>11</v>
      </c>
      <c r="C13" s="5" t="s">
        <v>37</v>
      </c>
      <c r="D13" s="5">
        <v>27</v>
      </c>
      <c r="E13" s="5">
        <v>75</v>
      </c>
      <c r="F13" s="5">
        <v>68</v>
      </c>
      <c r="G13" s="5">
        <v>79</v>
      </c>
      <c r="H13" s="22">
        <f t="shared" si="0"/>
        <v>249</v>
      </c>
    </row>
    <row r="14" spans="2:8" x14ac:dyDescent="0.3">
      <c r="B14" s="21">
        <v>12</v>
      </c>
      <c r="C14" s="5" t="s">
        <v>38</v>
      </c>
      <c r="D14" s="5">
        <v>76</v>
      </c>
      <c r="E14" s="5">
        <v>54</v>
      </c>
      <c r="F14" s="5">
        <v>40</v>
      </c>
      <c r="G14" s="5">
        <v>30</v>
      </c>
      <c r="H14" s="22">
        <f t="shared" si="0"/>
        <v>200</v>
      </c>
    </row>
    <row r="15" spans="2:8" x14ac:dyDescent="0.3">
      <c r="B15" s="21">
        <v>13</v>
      </c>
      <c r="C15" s="5" t="s">
        <v>39</v>
      </c>
      <c r="D15" s="5">
        <v>29</v>
      </c>
      <c r="E15" s="5">
        <v>15</v>
      </c>
      <c r="F15" s="5">
        <v>81</v>
      </c>
      <c r="G15" s="5">
        <v>56</v>
      </c>
      <c r="H15" s="22">
        <f t="shared" si="0"/>
        <v>181</v>
      </c>
    </row>
    <row r="16" spans="2:8" x14ac:dyDescent="0.3">
      <c r="B16" s="21">
        <v>14</v>
      </c>
      <c r="C16" s="5" t="s">
        <v>40</v>
      </c>
      <c r="D16" s="5">
        <v>62</v>
      </c>
      <c r="E16" s="5">
        <v>21</v>
      </c>
      <c r="F16" s="5">
        <v>67</v>
      </c>
      <c r="G16" s="5">
        <v>88</v>
      </c>
      <c r="H16" s="22">
        <f t="shared" si="0"/>
        <v>238</v>
      </c>
    </row>
    <row r="17" spans="2:10" ht="15" thickBot="1" x14ac:dyDescent="0.35">
      <c r="B17" s="23">
        <v>15</v>
      </c>
      <c r="C17" s="6" t="s">
        <v>41</v>
      </c>
      <c r="D17" s="6">
        <v>15</v>
      </c>
      <c r="E17" s="6">
        <v>95</v>
      </c>
      <c r="F17" s="6">
        <v>29</v>
      </c>
      <c r="G17" s="6">
        <v>64</v>
      </c>
      <c r="H17" s="22">
        <f t="shared" si="0"/>
        <v>203</v>
      </c>
    </row>
    <row r="24" spans="2:10" ht="15" thickBot="1" x14ac:dyDescent="0.35"/>
    <row r="25" spans="2:10" ht="15" thickBot="1" x14ac:dyDescent="0.35">
      <c r="B25" s="78" t="s">
        <v>42</v>
      </c>
      <c r="C25" s="79"/>
      <c r="D25" s="79"/>
      <c r="E25" s="79"/>
      <c r="F25" s="80"/>
      <c r="G25" s="81">
        <v>400</v>
      </c>
      <c r="H25" s="82"/>
      <c r="I25" s="82"/>
      <c r="J25" s="83"/>
    </row>
    <row r="26" spans="2:10" ht="15.6" x14ac:dyDescent="0.3">
      <c r="B26" s="24" t="s">
        <v>24</v>
      </c>
      <c r="C26" s="25" t="s">
        <v>25</v>
      </c>
      <c r="D26" s="25" t="s">
        <v>26</v>
      </c>
      <c r="E26" s="25" t="s">
        <v>3</v>
      </c>
      <c r="F26" s="25" t="s">
        <v>4</v>
      </c>
      <c r="G26" s="25" t="s">
        <v>5</v>
      </c>
      <c r="H26" s="25" t="s">
        <v>27</v>
      </c>
      <c r="I26" s="25" t="s">
        <v>43</v>
      </c>
      <c r="J26" s="25" t="s">
        <v>43</v>
      </c>
    </row>
    <row r="27" spans="2:10" x14ac:dyDescent="0.3">
      <c r="B27" s="21">
        <v>1</v>
      </c>
      <c r="C27" s="5" t="s">
        <v>10</v>
      </c>
      <c r="D27" s="5">
        <v>41</v>
      </c>
      <c r="E27" s="5">
        <v>39</v>
      </c>
      <c r="F27" s="5">
        <v>75</v>
      </c>
      <c r="G27" s="5">
        <v>34</v>
      </c>
      <c r="H27" s="22">
        <f>SUM(D27:G27)</f>
        <v>189</v>
      </c>
      <c r="I27" s="26">
        <f>H27/400</f>
        <v>0.47249999999999998</v>
      </c>
      <c r="J27" s="26">
        <f>H27/$G$25</f>
        <v>0.47249999999999998</v>
      </c>
    </row>
    <row r="28" spans="2:10" x14ac:dyDescent="0.3">
      <c r="B28" s="21">
        <v>2</v>
      </c>
      <c r="C28" s="5" t="s">
        <v>28</v>
      </c>
      <c r="D28" s="5">
        <v>67</v>
      </c>
      <c r="E28" s="5">
        <v>57</v>
      </c>
      <c r="F28" s="5">
        <v>73</v>
      </c>
      <c r="G28" s="5">
        <v>47</v>
      </c>
      <c r="H28" s="22">
        <f t="shared" ref="H28:H41" si="1">SUM(D28:G28)</f>
        <v>244</v>
      </c>
      <c r="I28" s="26">
        <f t="shared" ref="I28:I41" si="2">H28/400</f>
        <v>0.61</v>
      </c>
      <c r="J28" s="26">
        <f t="shared" ref="J28:J41" si="3">H28/$G$25</f>
        <v>0.61</v>
      </c>
    </row>
    <row r="29" spans="2:10" x14ac:dyDescent="0.3">
      <c r="B29" s="21">
        <v>3</v>
      </c>
      <c r="C29" s="5" t="s">
        <v>29</v>
      </c>
      <c r="D29" s="5">
        <v>22</v>
      </c>
      <c r="E29" s="5">
        <v>77</v>
      </c>
      <c r="F29" s="5">
        <v>29</v>
      </c>
      <c r="G29" s="5">
        <v>93</v>
      </c>
      <c r="H29" s="22">
        <f t="shared" si="1"/>
        <v>221</v>
      </c>
      <c r="I29" s="26">
        <f t="shared" si="2"/>
        <v>0.55249999999999999</v>
      </c>
      <c r="J29" s="26">
        <f t="shared" si="3"/>
        <v>0.55249999999999999</v>
      </c>
    </row>
    <row r="30" spans="2:10" x14ac:dyDescent="0.3">
      <c r="B30" s="21">
        <v>4</v>
      </c>
      <c r="C30" s="5" t="s">
        <v>30</v>
      </c>
      <c r="D30" s="5">
        <v>58</v>
      </c>
      <c r="E30" s="5">
        <v>80</v>
      </c>
      <c r="F30" s="5">
        <v>28</v>
      </c>
      <c r="G30" s="5">
        <v>92</v>
      </c>
      <c r="H30" s="22">
        <f t="shared" si="1"/>
        <v>258</v>
      </c>
      <c r="I30" s="26">
        <f t="shared" si="2"/>
        <v>0.64500000000000002</v>
      </c>
      <c r="J30" s="26">
        <f t="shared" si="3"/>
        <v>0.64500000000000002</v>
      </c>
    </row>
    <row r="31" spans="2:10" x14ac:dyDescent="0.3">
      <c r="B31" s="21">
        <v>5</v>
      </c>
      <c r="C31" s="5" t="s">
        <v>31</v>
      </c>
      <c r="D31" s="5">
        <v>89</v>
      </c>
      <c r="E31" s="5">
        <v>69</v>
      </c>
      <c r="F31" s="5">
        <v>92</v>
      </c>
      <c r="G31" s="5">
        <v>25</v>
      </c>
      <c r="H31" s="22">
        <f t="shared" si="1"/>
        <v>275</v>
      </c>
      <c r="I31" s="26">
        <f t="shared" si="2"/>
        <v>0.6875</v>
      </c>
      <c r="J31" s="26">
        <f t="shared" si="3"/>
        <v>0.6875</v>
      </c>
    </row>
    <row r="32" spans="2:10" x14ac:dyDescent="0.3">
      <c r="B32" s="21">
        <v>6</v>
      </c>
      <c r="C32" s="5" t="s">
        <v>32</v>
      </c>
      <c r="D32" s="5">
        <v>43</v>
      </c>
      <c r="E32" s="5">
        <v>20</v>
      </c>
      <c r="F32" s="5">
        <v>66</v>
      </c>
      <c r="G32" s="5">
        <v>50</v>
      </c>
      <c r="H32" s="22">
        <f t="shared" si="1"/>
        <v>179</v>
      </c>
      <c r="I32" s="26">
        <f t="shared" si="2"/>
        <v>0.44750000000000001</v>
      </c>
      <c r="J32" s="26">
        <f t="shared" si="3"/>
        <v>0.44750000000000001</v>
      </c>
    </row>
    <row r="33" spans="2:10" x14ac:dyDescent="0.3">
      <c r="B33" s="21">
        <v>7</v>
      </c>
      <c r="C33" s="5" t="s">
        <v>33</v>
      </c>
      <c r="D33" s="5">
        <v>21</v>
      </c>
      <c r="E33" s="5">
        <v>27</v>
      </c>
      <c r="F33" s="5">
        <v>70</v>
      </c>
      <c r="G33" s="5">
        <v>53</v>
      </c>
      <c r="H33" s="22">
        <f t="shared" si="1"/>
        <v>171</v>
      </c>
      <c r="I33" s="26">
        <f t="shared" si="2"/>
        <v>0.42749999999999999</v>
      </c>
      <c r="J33" s="26">
        <f t="shared" si="3"/>
        <v>0.42749999999999999</v>
      </c>
    </row>
    <row r="34" spans="2:10" x14ac:dyDescent="0.3">
      <c r="B34" s="21">
        <v>8</v>
      </c>
      <c r="C34" s="5" t="s">
        <v>34</v>
      </c>
      <c r="D34" s="5">
        <v>21</v>
      </c>
      <c r="E34" s="5">
        <v>35</v>
      </c>
      <c r="F34" s="5">
        <v>36</v>
      </c>
      <c r="G34" s="5">
        <v>41</v>
      </c>
      <c r="H34" s="22">
        <f t="shared" si="1"/>
        <v>133</v>
      </c>
      <c r="I34" s="26">
        <f t="shared" si="2"/>
        <v>0.33250000000000002</v>
      </c>
      <c r="J34" s="26">
        <f t="shared" si="3"/>
        <v>0.33250000000000002</v>
      </c>
    </row>
    <row r="35" spans="2:10" x14ac:dyDescent="0.3">
      <c r="B35" s="21">
        <v>9</v>
      </c>
      <c r="C35" s="5" t="s">
        <v>35</v>
      </c>
      <c r="D35" s="5">
        <v>61</v>
      </c>
      <c r="E35" s="5">
        <v>19</v>
      </c>
      <c r="F35" s="5">
        <v>25</v>
      </c>
      <c r="G35" s="5">
        <v>73</v>
      </c>
      <c r="H35" s="22">
        <f t="shared" si="1"/>
        <v>178</v>
      </c>
      <c r="I35" s="26">
        <f t="shared" si="2"/>
        <v>0.44500000000000001</v>
      </c>
      <c r="J35" s="26">
        <f t="shared" si="3"/>
        <v>0.44500000000000001</v>
      </c>
    </row>
    <row r="36" spans="2:10" x14ac:dyDescent="0.3">
      <c r="B36" s="21">
        <v>10</v>
      </c>
      <c r="C36" s="5" t="s">
        <v>36</v>
      </c>
      <c r="D36" s="5">
        <v>69</v>
      </c>
      <c r="E36" s="5">
        <v>32</v>
      </c>
      <c r="F36" s="5">
        <v>59</v>
      </c>
      <c r="G36" s="5">
        <v>41</v>
      </c>
      <c r="H36" s="22">
        <f t="shared" si="1"/>
        <v>201</v>
      </c>
      <c r="I36" s="26">
        <f t="shared" si="2"/>
        <v>0.50249999999999995</v>
      </c>
      <c r="J36" s="26">
        <f t="shared" si="3"/>
        <v>0.50249999999999995</v>
      </c>
    </row>
    <row r="37" spans="2:10" x14ac:dyDescent="0.3">
      <c r="B37" s="21">
        <v>11</v>
      </c>
      <c r="C37" s="5" t="s">
        <v>37</v>
      </c>
      <c r="D37" s="5">
        <v>27</v>
      </c>
      <c r="E37" s="5">
        <v>75</v>
      </c>
      <c r="F37" s="5">
        <v>68</v>
      </c>
      <c r="G37" s="5">
        <v>79</v>
      </c>
      <c r="H37" s="22">
        <f t="shared" si="1"/>
        <v>249</v>
      </c>
      <c r="I37" s="26">
        <f t="shared" si="2"/>
        <v>0.62250000000000005</v>
      </c>
      <c r="J37" s="26">
        <f t="shared" si="3"/>
        <v>0.62250000000000005</v>
      </c>
    </row>
    <row r="38" spans="2:10" x14ac:dyDescent="0.3">
      <c r="B38" s="21">
        <v>12</v>
      </c>
      <c r="C38" s="5" t="s">
        <v>38</v>
      </c>
      <c r="D38" s="5">
        <v>76</v>
      </c>
      <c r="E38" s="5">
        <v>54</v>
      </c>
      <c r="F38" s="5">
        <v>40</v>
      </c>
      <c r="G38" s="5">
        <v>30</v>
      </c>
      <c r="H38" s="22">
        <f t="shared" si="1"/>
        <v>200</v>
      </c>
      <c r="I38" s="26">
        <f t="shared" si="2"/>
        <v>0.5</v>
      </c>
      <c r="J38" s="26">
        <f t="shared" si="3"/>
        <v>0.5</v>
      </c>
    </row>
    <row r="39" spans="2:10" x14ac:dyDescent="0.3">
      <c r="B39" s="21">
        <v>13</v>
      </c>
      <c r="C39" s="5" t="s">
        <v>39</v>
      </c>
      <c r="D39" s="5">
        <v>29</v>
      </c>
      <c r="E39" s="5">
        <v>15</v>
      </c>
      <c r="F39" s="5">
        <v>81</v>
      </c>
      <c r="G39" s="5">
        <v>56</v>
      </c>
      <c r="H39" s="22">
        <f t="shared" si="1"/>
        <v>181</v>
      </c>
      <c r="I39" s="26">
        <f t="shared" si="2"/>
        <v>0.45250000000000001</v>
      </c>
      <c r="J39" s="26">
        <f t="shared" si="3"/>
        <v>0.45250000000000001</v>
      </c>
    </row>
    <row r="40" spans="2:10" x14ac:dyDescent="0.3">
      <c r="B40" s="21">
        <v>14</v>
      </c>
      <c r="C40" s="5" t="s">
        <v>40</v>
      </c>
      <c r="D40" s="5">
        <v>62</v>
      </c>
      <c r="E40" s="5">
        <v>21</v>
      </c>
      <c r="F40" s="5">
        <v>67</v>
      </c>
      <c r="G40" s="5">
        <v>88</v>
      </c>
      <c r="H40" s="22">
        <f t="shared" si="1"/>
        <v>238</v>
      </c>
      <c r="I40" s="26">
        <f t="shared" si="2"/>
        <v>0.59499999999999997</v>
      </c>
      <c r="J40" s="26">
        <f t="shared" si="3"/>
        <v>0.59499999999999997</v>
      </c>
    </row>
    <row r="41" spans="2:10" ht="15" thickBot="1" x14ac:dyDescent="0.35">
      <c r="B41" s="23">
        <v>15</v>
      </c>
      <c r="C41" s="6" t="s">
        <v>41</v>
      </c>
      <c r="D41" s="6">
        <v>15</v>
      </c>
      <c r="E41" s="6">
        <v>95</v>
      </c>
      <c r="F41" s="6">
        <v>29</v>
      </c>
      <c r="G41" s="6">
        <v>64</v>
      </c>
      <c r="H41" s="22">
        <f t="shared" si="1"/>
        <v>203</v>
      </c>
      <c r="I41" s="26">
        <f t="shared" si="2"/>
        <v>0.50749999999999995</v>
      </c>
      <c r="J41" s="26">
        <f t="shared" si="3"/>
        <v>0.50749999999999995</v>
      </c>
    </row>
    <row r="49" spans="2:13" ht="15" thickBot="1" x14ac:dyDescent="0.35"/>
    <row r="50" spans="2:13" ht="15" thickBot="1" x14ac:dyDescent="0.35">
      <c r="B50" s="78" t="s">
        <v>42</v>
      </c>
      <c r="C50" s="79"/>
      <c r="D50" s="79"/>
      <c r="E50" s="79"/>
      <c r="F50" s="79"/>
      <c r="G50" s="84">
        <v>400</v>
      </c>
      <c r="H50" s="84"/>
      <c r="I50" s="84"/>
      <c r="J50" s="84"/>
      <c r="K50" s="84"/>
      <c r="L50" s="84"/>
      <c r="M50" s="85"/>
    </row>
    <row r="51" spans="2:13" ht="15.6" x14ac:dyDescent="0.3">
      <c r="B51" s="24" t="s">
        <v>24</v>
      </c>
      <c r="C51" s="25" t="s">
        <v>25</v>
      </c>
      <c r="D51" s="25" t="s">
        <v>26</v>
      </c>
      <c r="E51" s="25" t="s">
        <v>3</v>
      </c>
      <c r="F51" s="25" t="s">
        <v>4</v>
      </c>
      <c r="G51" s="25" t="s">
        <v>5</v>
      </c>
      <c r="H51" s="25" t="s">
        <v>27</v>
      </c>
      <c r="I51" s="25" t="s">
        <v>43</v>
      </c>
      <c r="J51" s="25" t="s">
        <v>44</v>
      </c>
      <c r="K51" s="25" t="s">
        <v>45</v>
      </c>
      <c r="L51" s="25" t="s">
        <v>46</v>
      </c>
      <c r="M51" s="27" t="s">
        <v>47</v>
      </c>
    </row>
    <row r="52" spans="2:13" x14ac:dyDescent="0.3">
      <c r="B52" s="21">
        <v>1</v>
      </c>
      <c r="C52" s="5" t="s">
        <v>10</v>
      </c>
      <c r="D52" s="5">
        <v>41</v>
      </c>
      <c r="E52" s="5">
        <v>39</v>
      </c>
      <c r="F52" s="5">
        <v>75</v>
      </c>
      <c r="G52" s="5">
        <v>34</v>
      </c>
      <c r="H52" s="22">
        <f>SUM(D52:G52)</f>
        <v>189</v>
      </c>
      <c r="I52" s="26">
        <f>H52/$G$50</f>
        <v>0.47249999999999998</v>
      </c>
      <c r="J52" s="28">
        <f>D52/H52</f>
        <v>0.21693121693121692</v>
      </c>
      <c r="K52" s="28">
        <f>E52/H52</f>
        <v>0.20634920634920634</v>
      </c>
      <c r="L52" s="28">
        <f>F52/$H$52</f>
        <v>0.3968253968253968</v>
      </c>
      <c r="M52" s="28">
        <f>G52/$H$52</f>
        <v>0.17989417989417988</v>
      </c>
    </row>
    <row r="53" spans="2:13" x14ac:dyDescent="0.3">
      <c r="B53" s="21">
        <v>2</v>
      </c>
      <c r="C53" s="5" t="s">
        <v>28</v>
      </c>
      <c r="D53" s="5">
        <v>67</v>
      </c>
      <c r="E53" s="5">
        <v>57</v>
      </c>
      <c r="F53" s="5">
        <v>73</v>
      </c>
      <c r="G53" s="5">
        <v>47</v>
      </c>
      <c r="H53" s="22">
        <f t="shared" ref="H53:H64" si="4">SUM(D53:G53)</f>
        <v>244</v>
      </c>
      <c r="I53" s="26">
        <f t="shared" ref="I53:I64" si="5">H53/$G$50</f>
        <v>0.61</v>
      </c>
      <c r="J53" s="28">
        <f t="shared" ref="J53:J64" si="6">D53/H53</f>
        <v>0.27459016393442626</v>
      </c>
      <c r="K53" s="28">
        <f t="shared" ref="K53:K64" si="7">E53/H53</f>
        <v>0.23360655737704919</v>
      </c>
      <c r="L53" s="28">
        <f t="shared" ref="L53:L64" si="8">F53/$H$52</f>
        <v>0.38624338624338622</v>
      </c>
      <c r="M53" s="28">
        <f t="shared" ref="M53:M64" si="9">G53/$H$52</f>
        <v>0.24867724867724866</v>
      </c>
    </row>
    <row r="54" spans="2:13" x14ac:dyDescent="0.3">
      <c r="B54" s="21">
        <v>3</v>
      </c>
      <c r="C54" s="5" t="s">
        <v>29</v>
      </c>
      <c r="D54" s="5">
        <v>22</v>
      </c>
      <c r="E54" s="5">
        <v>77</v>
      </c>
      <c r="F54" s="5">
        <v>29</v>
      </c>
      <c r="G54" s="5">
        <v>93</v>
      </c>
      <c r="H54" s="22">
        <f t="shared" si="4"/>
        <v>221</v>
      </c>
      <c r="I54" s="26">
        <f t="shared" si="5"/>
        <v>0.55249999999999999</v>
      </c>
      <c r="J54" s="28">
        <f t="shared" si="6"/>
        <v>9.9547511312217188E-2</v>
      </c>
      <c r="K54" s="28">
        <f t="shared" si="7"/>
        <v>0.34841628959276016</v>
      </c>
      <c r="L54" s="28">
        <f t="shared" si="8"/>
        <v>0.15343915343915343</v>
      </c>
      <c r="M54" s="28">
        <f t="shared" si="9"/>
        <v>0.49206349206349204</v>
      </c>
    </row>
    <row r="55" spans="2:13" x14ac:dyDescent="0.3">
      <c r="B55" s="21">
        <v>4</v>
      </c>
      <c r="C55" s="5" t="s">
        <v>30</v>
      </c>
      <c r="D55" s="5">
        <v>58</v>
      </c>
      <c r="E55" s="5">
        <v>80</v>
      </c>
      <c r="F55" s="5">
        <v>28</v>
      </c>
      <c r="G55" s="5">
        <v>92</v>
      </c>
      <c r="H55" s="22">
        <f t="shared" si="4"/>
        <v>258</v>
      </c>
      <c r="I55" s="26">
        <f t="shared" si="5"/>
        <v>0.64500000000000002</v>
      </c>
      <c r="J55" s="28">
        <f t="shared" si="6"/>
        <v>0.22480620155038761</v>
      </c>
      <c r="K55" s="28">
        <f t="shared" si="7"/>
        <v>0.31007751937984496</v>
      </c>
      <c r="L55" s="28">
        <f t="shared" si="8"/>
        <v>0.14814814814814814</v>
      </c>
      <c r="M55" s="28">
        <f t="shared" si="9"/>
        <v>0.48677248677248675</v>
      </c>
    </row>
    <row r="56" spans="2:13" x14ac:dyDescent="0.3">
      <c r="B56" s="21">
        <v>5</v>
      </c>
      <c r="C56" s="5" t="s">
        <v>31</v>
      </c>
      <c r="D56" s="5">
        <v>89</v>
      </c>
      <c r="E56" s="5">
        <v>69</v>
      </c>
      <c r="F56" s="5">
        <v>92</v>
      </c>
      <c r="G56" s="5">
        <v>25</v>
      </c>
      <c r="H56" s="22">
        <f t="shared" si="4"/>
        <v>275</v>
      </c>
      <c r="I56" s="26">
        <f t="shared" si="5"/>
        <v>0.6875</v>
      </c>
      <c r="J56" s="28">
        <f t="shared" si="6"/>
        <v>0.32363636363636361</v>
      </c>
      <c r="K56" s="28">
        <f t="shared" si="7"/>
        <v>0.25090909090909091</v>
      </c>
      <c r="L56" s="28">
        <f t="shared" si="8"/>
        <v>0.48677248677248675</v>
      </c>
      <c r="M56" s="28">
        <f t="shared" si="9"/>
        <v>0.13227513227513227</v>
      </c>
    </row>
    <row r="57" spans="2:13" x14ac:dyDescent="0.3">
      <c r="B57" s="21">
        <v>6</v>
      </c>
      <c r="C57" s="5" t="s">
        <v>32</v>
      </c>
      <c r="D57" s="5">
        <v>43</v>
      </c>
      <c r="E57" s="5">
        <v>20</v>
      </c>
      <c r="F57" s="5">
        <v>66</v>
      </c>
      <c r="G57" s="5">
        <v>50</v>
      </c>
      <c r="H57" s="22">
        <f t="shared" si="4"/>
        <v>179</v>
      </c>
      <c r="I57" s="26">
        <f t="shared" si="5"/>
        <v>0.44750000000000001</v>
      </c>
      <c r="J57" s="28">
        <f t="shared" si="6"/>
        <v>0.24022346368715083</v>
      </c>
      <c r="K57" s="28">
        <f t="shared" si="7"/>
        <v>0.11173184357541899</v>
      </c>
      <c r="L57" s="28">
        <f t="shared" si="8"/>
        <v>0.34920634920634919</v>
      </c>
      <c r="M57" s="28">
        <f t="shared" si="9"/>
        <v>0.26455026455026454</v>
      </c>
    </row>
    <row r="58" spans="2:13" x14ac:dyDescent="0.3">
      <c r="B58" s="21">
        <v>7</v>
      </c>
      <c r="C58" s="5" t="s">
        <v>33</v>
      </c>
      <c r="D58" s="5">
        <v>21</v>
      </c>
      <c r="E58" s="5">
        <v>27</v>
      </c>
      <c r="F58" s="5">
        <v>70</v>
      </c>
      <c r="G58" s="5">
        <v>53</v>
      </c>
      <c r="H58" s="22">
        <f t="shared" si="4"/>
        <v>171</v>
      </c>
      <c r="I58" s="26">
        <f t="shared" si="5"/>
        <v>0.42749999999999999</v>
      </c>
      <c r="J58" s="28">
        <f t="shared" si="6"/>
        <v>0.12280701754385964</v>
      </c>
      <c r="K58" s="28">
        <f t="shared" si="7"/>
        <v>0.15789473684210525</v>
      </c>
      <c r="L58" s="28">
        <f t="shared" si="8"/>
        <v>0.37037037037037035</v>
      </c>
      <c r="M58" s="28">
        <f t="shared" si="9"/>
        <v>0.28042328042328041</v>
      </c>
    </row>
    <row r="59" spans="2:13" x14ac:dyDescent="0.3">
      <c r="B59" s="21">
        <v>8</v>
      </c>
      <c r="C59" s="5" t="s">
        <v>34</v>
      </c>
      <c r="D59" s="5">
        <v>21</v>
      </c>
      <c r="E59" s="5">
        <v>35</v>
      </c>
      <c r="F59" s="5">
        <v>36</v>
      </c>
      <c r="G59" s="5">
        <v>41</v>
      </c>
      <c r="H59" s="22">
        <f t="shared" si="4"/>
        <v>133</v>
      </c>
      <c r="I59" s="26">
        <f t="shared" si="5"/>
        <v>0.33250000000000002</v>
      </c>
      <c r="J59" s="28">
        <f t="shared" si="6"/>
        <v>0.15789473684210525</v>
      </c>
      <c r="K59" s="28">
        <f t="shared" si="7"/>
        <v>0.26315789473684209</v>
      </c>
      <c r="L59" s="28">
        <f t="shared" si="8"/>
        <v>0.19047619047619047</v>
      </c>
      <c r="M59" s="28">
        <f t="shared" si="9"/>
        <v>0.21693121693121692</v>
      </c>
    </row>
    <row r="60" spans="2:13" x14ac:dyDescent="0.3">
      <c r="B60" s="21">
        <v>9</v>
      </c>
      <c r="C60" s="5" t="s">
        <v>35</v>
      </c>
      <c r="D60" s="5">
        <v>61</v>
      </c>
      <c r="E60" s="5">
        <v>19</v>
      </c>
      <c r="F60" s="5">
        <v>25</v>
      </c>
      <c r="G60" s="5">
        <v>73</v>
      </c>
      <c r="H60" s="22">
        <f t="shared" si="4"/>
        <v>178</v>
      </c>
      <c r="I60" s="26">
        <f t="shared" si="5"/>
        <v>0.44500000000000001</v>
      </c>
      <c r="J60" s="28">
        <f t="shared" si="6"/>
        <v>0.34269662921348315</v>
      </c>
      <c r="K60" s="28">
        <f t="shared" si="7"/>
        <v>0.10674157303370786</v>
      </c>
      <c r="L60" s="28">
        <f t="shared" si="8"/>
        <v>0.13227513227513227</v>
      </c>
      <c r="M60" s="28">
        <f t="shared" si="9"/>
        <v>0.38624338624338622</v>
      </c>
    </row>
    <row r="61" spans="2:13" x14ac:dyDescent="0.3">
      <c r="B61" s="21">
        <v>10</v>
      </c>
      <c r="C61" s="5" t="s">
        <v>36</v>
      </c>
      <c r="D61" s="5">
        <v>69</v>
      </c>
      <c r="E61" s="5">
        <v>32</v>
      </c>
      <c r="F61" s="5">
        <v>59</v>
      </c>
      <c r="G61" s="5">
        <v>41</v>
      </c>
      <c r="H61" s="22">
        <f t="shared" si="4"/>
        <v>201</v>
      </c>
      <c r="I61" s="26">
        <f t="shared" si="5"/>
        <v>0.50249999999999995</v>
      </c>
      <c r="J61" s="28">
        <f t="shared" si="6"/>
        <v>0.34328358208955223</v>
      </c>
      <c r="K61" s="28">
        <f t="shared" si="7"/>
        <v>0.15920398009950248</v>
      </c>
      <c r="L61" s="28">
        <f t="shared" si="8"/>
        <v>0.31216931216931215</v>
      </c>
      <c r="M61" s="28">
        <f t="shared" si="9"/>
        <v>0.21693121693121692</v>
      </c>
    </row>
    <row r="62" spans="2:13" x14ac:dyDescent="0.3">
      <c r="B62" s="21">
        <v>11</v>
      </c>
      <c r="C62" s="5" t="s">
        <v>37</v>
      </c>
      <c r="D62" s="5">
        <v>27</v>
      </c>
      <c r="E62" s="5">
        <v>75</v>
      </c>
      <c r="F62" s="5">
        <v>68</v>
      </c>
      <c r="G62" s="5">
        <v>79</v>
      </c>
      <c r="H62" s="22">
        <f t="shared" si="4"/>
        <v>249</v>
      </c>
      <c r="I62" s="26">
        <f t="shared" si="5"/>
        <v>0.62250000000000005</v>
      </c>
      <c r="J62" s="28">
        <f t="shared" si="6"/>
        <v>0.10843373493975904</v>
      </c>
      <c r="K62" s="28">
        <f t="shared" si="7"/>
        <v>0.30120481927710846</v>
      </c>
      <c r="L62" s="28">
        <f t="shared" si="8"/>
        <v>0.35978835978835977</v>
      </c>
      <c r="M62" s="28">
        <f t="shared" si="9"/>
        <v>0.41798941798941797</v>
      </c>
    </row>
    <row r="63" spans="2:13" x14ac:dyDescent="0.3">
      <c r="B63" s="21">
        <v>12</v>
      </c>
      <c r="C63" s="5" t="s">
        <v>38</v>
      </c>
      <c r="D63" s="5">
        <v>76</v>
      </c>
      <c r="E63" s="5">
        <v>54</v>
      </c>
      <c r="F63" s="5">
        <v>40</v>
      </c>
      <c r="G63" s="5">
        <v>30</v>
      </c>
      <c r="H63" s="22">
        <f t="shared" si="4"/>
        <v>200</v>
      </c>
      <c r="I63" s="26">
        <f t="shared" si="5"/>
        <v>0.5</v>
      </c>
      <c r="J63" s="28">
        <f t="shared" si="6"/>
        <v>0.38</v>
      </c>
      <c r="K63" s="28">
        <f t="shared" si="7"/>
        <v>0.27</v>
      </c>
      <c r="L63" s="28">
        <f t="shared" si="8"/>
        <v>0.21164021164021163</v>
      </c>
      <c r="M63" s="28">
        <f t="shared" si="9"/>
        <v>0.15873015873015872</v>
      </c>
    </row>
    <row r="64" spans="2:13" ht="15" thickBot="1" x14ac:dyDescent="0.35">
      <c r="B64" s="23">
        <v>13</v>
      </c>
      <c r="C64" s="6" t="s">
        <v>39</v>
      </c>
      <c r="D64" s="6">
        <v>29</v>
      </c>
      <c r="E64" s="6">
        <v>15</v>
      </c>
      <c r="F64" s="6">
        <v>81</v>
      </c>
      <c r="G64" s="6">
        <v>56</v>
      </c>
      <c r="H64" s="22">
        <f t="shared" si="4"/>
        <v>181</v>
      </c>
      <c r="I64" s="26">
        <f t="shared" si="5"/>
        <v>0.45250000000000001</v>
      </c>
      <c r="J64" s="28">
        <f t="shared" si="6"/>
        <v>0.16022099447513813</v>
      </c>
      <c r="K64" s="28">
        <f t="shared" si="7"/>
        <v>8.2872928176795577E-2</v>
      </c>
      <c r="L64" s="28">
        <f t="shared" si="8"/>
        <v>0.42857142857142855</v>
      </c>
      <c r="M64" s="28">
        <f t="shared" si="9"/>
        <v>0.29629629629629628</v>
      </c>
    </row>
  </sheetData>
  <mergeCells count="4">
    <mergeCell ref="B25:F25"/>
    <mergeCell ref="G25:J25"/>
    <mergeCell ref="B50:F50"/>
    <mergeCell ref="G50:M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965A-8580-471E-808A-B9F1A0EBA849}">
  <sheetPr>
    <tabColor theme="5" tint="-0.249977111117893"/>
  </sheetPr>
  <dimension ref="A1:G189"/>
  <sheetViews>
    <sheetView topLeftCell="A165" workbookViewId="0">
      <selection activeCell="B181" sqref="B181"/>
    </sheetView>
  </sheetViews>
  <sheetFormatPr defaultRowHeight="14.4" x14ac:dyDescent="0.3"/>
  <cols>
    <col min="1" max="1" width="41.109375" customWidth="1"/>
    <col min="2" max="2" width="27.21875" bestFit="1" customWidth="1"/>
    <col min="3" max="3" width="20.6640625" bestFit="1" customWidth="1"/>
    <col min="4" max="4" width="11.88671875" customWidth="1"/>
    <col min="5" max="5" width="12.5546875" bestFit="1" customWidth="1"/>
    <col min="6" max="6" width="20.6640625" bestFit="1" customWidth="1"/>
    <col min="7" max="7" width="24" bestFit="1" customWidth="1"/>
  </cols>
  <sheetData>
    <row r="1" spans="1:2" ht="18.600000000000001" thickBot="1" x14ac:dyDescent="0.4">
      <c r="A1" s="89" t="s">
        <v>48</v>
      </c>
      <c r="B1" s="89"/>
    </row>
    <row r="2" spans="1:2" ht="18" x14ac:dyDescent="0.3">
      <c r="A2" s="30" t="s">
        <v>25</v>
      </c>
      <c r="B2" s="31" t="s">
        <v>49</v>
      </c>
    </row>
    <row r="3" spans="1:2" ht="15.6" x14ac:dyDescent="0.3">
      <c r="A3" s="2" t="s">
        <v>50</v>
      </c>
      <c r="B3" s="29" t="str">
        <f>LEFT(A3,3)</f>
        <v>Mr.</v>
      </c>
    </row>
    <row r="4" spans="1:2" ht="15.6" x14ac:dyDescent="0.3">
      <c r="A4" s="2" t="s">
        <v>51</v>
      </c>
      <c r="B4" s="29" t="str">
        <f t="shared" ref="B4:B12" si="0">LEFT(A4,3)</f>
        <v>Mr.</v>
      </c>
    </row>
    <row r="5" spans="1:2" ht="15.6" x14ac:dyDescent="0.3">
      <c r="A5" s="2" t="s">
        <v>52</v>
      </c>
      <c r="B5" s="29" t="str">
        <f t="shared" si="0"/>
        <v>Mr.</v>
      </c>
    </row>
    <row r="6" spans="1:2" ht="15.6" x14ac:dyDescent="0.3">
      <c r="A6" s="2" t="s">
        <v>53</v>
      </c>
      <c r="B6" s="29" t="str">
        <f t="shared" si="0"/>
        <v>Mr.</v>
      </c>
    </row>
    <row r="7" spans="1:2" ht="15.6" x14ac:dyDescent="0.3">
      <c r="A7" s="2" t="s">
        <v>54</v>
      </c>
      <c r="B7" s="29" t="str">
        <f t="shared" si="0"/>
        <v>Mr.</v>
      </c>
    </row>
    <row r="8" spans="1:2" ht="15.6" x14ac:dyDescent="0.3">
      <c r="A8" s="2" t="s">
        <v>55</v>
      </c>
      <c r="B8" s="29" t="str">
        <f t="shared" si="0"/>
        <v>Mr.</v>
      </c>
    </row>
    <row r="9" spans="1:2" ht="15.6" x14ac:dyDescent="0.3">
      <c r="A9" s="2" t="s">
        <v>56</v>
      </c>
      <c r="B9" s="29" t="str">
        <f t="shared" si="0"/>
        <v>Mr.</v>
      </c>
    </row>
    <row r="10" spans="1:2" ht="15.6" x14ac:dyDescent="0.3">
      <c r="A10" s="2" t="s">
        <v>57</v>
      </c>
      <c r="B10" s="29" t="str">
        <f t="shared" si="0"/>
        <v>Mr.</v>
      </c>
    </row>
    <row r="11" spans="1:2" ht="15.6" x14ac:dyDescent="0.3">
      <c r="A11" s="2" t="s">
        <v>58</v>
      </c>
      <c r="B11" s="29" t="str">
        <f t="shared" si="0"/>
        <v>Mr.</v>
      </c>
    </row>
    <row r="12" spans="1:2" ht="16.2" thickBot="1" x14ac:dyDescent="0.35">
      <c r="A12" s="3" t="s">
        <v>59</v>
      </c>
      <c r="B12" s="29" t="str">
        <f t="shared" si="0"/>
        <v>Ms.</v>
      </c>
    </row>
    <row r="21" spans="1:2" ht="15" thickBot="1" x14ac:dyDescent="0.35"/>
    <row r="22" spans="1:2" ht="18" x14ac:dyDescent="0.35">
      <c r="A22" s="86" t="s">
        <v>60</v>
      </c>
      <c r="B22" s="88"/>
    </row>
    <row r="23" spans="1:2" ht="18" x14ac:dyDescent="0.3">
      <c r="A23" s="32" t="s">
        <v>61</v>
      </c>
      <c r="B23" s="33" t="s">
        <v>62</v>
      </c>
    </row>
    <row r="24" spans="1:2" ht="15.6" x14ac:dyDescent="0.3">
      <c r="A24" s="34" t="s">
        <v>63</v>
      </c>
      <c r="B24" s="29" t="str">
        <f>RIGHT(A24,3)</f>
        <v>MNO</v>
      </c>
    </row>
    <row r="25" spans="1:2" ht="15.6" x14ac:dyDescent="0.3">
      <c r="A25" s="34" t="s">
        <v>64</v>
      </c>
      <c r="B25" s="29" t="str">
        <f t="shared" ref="B25:B33" si="1">RIGHT(A25,3)</f>
        <v>KLM</v>
      </c>
    </row>
    <row r="26" spans="1:2" ht="15.6" x14ac:dyDescent="0.3">
      <c r="A26" s="34" t="s">
        <v>65</v>
      </c>
      <c r="B26" s="29" t="str">
        <f t="shared" si="1"/>
        <v>XYZ</v>
      </c>
    </row>
    <row r="27" spans="1:2" ht="15.6" x14ac:dyDescent="0.3">
      <c r="A27" s="34" t="s">
        <v>66</v>
      </c>
      <c r="B27" s="29" t="str">
        <f t="shared" si="1"/>
        <v>PQR</v>
      </c>
    </row>
    <row r="28" spans="1:2" ht="15.6" x14ac:dyDescent="0.3">
      <c r="A28" s="34" t="s">
        <v>67</v>
      </c>
      <c r="B28" s="29" t="str">
        <f t="shared" si="1"/>
        <v>ABC</v>
      </c>
    </row>
    <row r="29" spans="1:2" ht="15.6" x14ac:dyDescent="0.3">
      <c r="A29" s="34" t="s">
        <v>68</v>
      </c>
      <c r="B29" s="29" t="str">
        <f t="shared" si="1"/>
        <v>DEF</v>
      </c>
    </row>
    <row r="30" spans="1:2" ht="15.6" x14ac:dyDescent="0.3">
      <c r="A30" s="34" t="s">
        <v>69</v>
      </c>
      <c r="B30" s="29" t="str">
        <f t="shared" si="1"/>
        <v>GHI</v>
      </c>
    </row>
    <row r="31" spans="1:2" ht="15.6" x14ac:dyDescent="0.3">
      <c r="A31" s="34" t="s">
        <v>70</v>
      </c>
      <c r="B31" s="29" t="str">
        <f t="shared" si="1"/>
        <v>JKL</v>
      </c>
    </row>
    <row r="32" spans="1:2" ht="15.6" x14ac:dyDescent="0.3">
      <c r="A32" s="34" t="s">
        <v>71</v>
      </c>
      <c r="B32" s="29" t="str">
        <f t="shared" si="1"/>
        <v>STU</v>
      </c>
    </row>
    <row r="33" spans="1:4" ht="16.2" thickBot="1" x14ac:dyDescent="0.35">
      <c r="A33" s="35" t="s">
        <v>72</v>
      </c>
      <c r="B33" s="29" t="str">
        <f t="shared" si="1"/>
        <v>VWX</v>
      </c>
    </row>
    <row r="43" spans="1:4" ht="15" thickBot="1" x14ac:dyDescent="0.35"/>
    <row r="44" spans="1:4" ht="18" x14ac:dyDescent="0.35">
      <c r="C44" s="86" t="s">
        <v>73</v>
      </c>
      <c r="D44" s="88"/>
    </row>
    <row r="45" spans="1:4" ht="18" x14ac:dyDescent="0.3">
      <c r="C45" s="32" t="s">
        <v>61</v>
      </c>
      <c r="D45" s="33" t="s">
        <v>62</v>
      </c>
    </row>
    <row r="46" spans="1:4" ht="15.6" x14ac:dyDescent="0.3">
      <c r="C46" s="34" t="s">
        <v>63</v>
      </c>
      <c r="D46" s="29" t="str">
        <f>MID(C46,5,4)</f>
        <v>5678</v>
      </c>
    </row>
    <row r="47" spans="1:4" ht="15.6" x14ac:dyDescent="0.3">
      <c r="C47" s="34" t="s">
        <v>64</v>
      </c>
      <c r="D47" s="29" t="str">
        <f t="shared" ref="D47:D55" si="2">MID(C47,5,4)</f>
        <v>8492</v>
      </c>
    </row>
    <row r="48" spans="1:4" ht="15.6" x14ac:dyDescent="0.3">
      <c r="C48" s="34" t="s">
        <v>65</v>
      </c>
      <c r="D48" s="29" t="str">
        <f t="shared" si="2"/>
        <v>2345</v>
      </c>
    </row>
    <row r="49" spans="3:4" ht="15.6" x14ac:dyDescent="0.3">
      <c r="C49" s="34" t="s">
        <v>66</v>
      </c>
      <c r="D49" s="29" t="str">
        <f t="shared" si="2"/>
        <v>6789</v>
      </c>
    </row>
    <row r="50" spans="3:4" ht="15.6" x14ac:dyDescent="0.3">
      <c r="C50" s="34" t="s">
        <v>67</v>
      </c>
      <c r="D50" s="29" t="str">
        <f t="shared" si="2"/>
        <v>4532</v>
      </c>
    </row>
    <row r="51" spans="3:4" ht="15.6" x14ac:dyDescent="0.3">
      <c r="C51" s="34" t="s">
        <v>68</v>
      </c>
      <c r="D51" s="29" t="str">
        <f t="shared" si="2"/>
        <v>9102</v>
      </c>
    </row>
    <row r="52" spans="3:4" ht="15.6" x14ac:dyDescent="0.3">
      <c r="C52" s="34" t="s">
        <v>69</v>
      </c>
      <c r="D52" s="29" t="str">
        <f t="shared" si="2"/>
        <v>3217</v>
      </c>
    </row>
    <row r="53" spans="3:4" ht="15.6" x14ac:dyDescent="0.3">
      <c r="C53" s="34" t="s">
        <v>70</v>
      </c>
      <c r="D53" s="29" t="str">
        <f t="shared" si="2"/>
        <v>7654</v>
      </c>
    </row>
    <row r="54" spans="3:4" ht="15.6" x14ac:dyDescent="0.3">
      <c r="C54" s="34" t="s">
        <v>71</v>
      </c>
      <c r="D54" s="29" t="str">
        <f t="shared" si="2"/>
        <v>1876</v>
      </c>
    </row>
    <row r="55" spans="3:4" ht="16.2" thickBot="1" x14ac:dyDescent="0.35">
      <c r="C55" s="35" t="s">
        <v>72</v>
      </c>
      <c r="D55" s="29" t="str">
        <f t="shared" si="2"/>
        <v>5923</v>
      </c>
    </row>
    <row r="64" spans="3:4" ht="15" thickBot="1" x14ac:dyDescent="0.35"/>
    <row r="65" spans="1:2" ht="18.600000000000001" thickBot="1" x14ac:dyDescent="0.4">
      <c r="A65" s="90" t="s">
        <v>74</v>
      </c>
      <c r="B65" s="91"/>
    </row>
    <row r="66" spans="1:2" ht="18" x14ac:dyDescent="0.3">
      <c r="A66" s="30" t="s">
        <v>61</v>
      </c>
      <c r="B66" s="31"/>
    </row>
    <row r="67" spans="1:2" ht="15.6" x14ac:dyDescent="0.3">
      <c r="A67" s="34" t="s">
        <v>63</v>
      </c>
      <c r="B67" s="29">
        <f>LEN(A67)</f>
        <v>12</v>
      </c>
    </row>
    <row r="68" spans="1:2" ht="15.6" x14ac:dyDescent="0.3">
      <c r="A68" s="34" t="s">
        <v>64</v>
      </c>
      <c r="B68" s="29">
        <f t="shared" ref="B68:B76" si="3">LEN(A68)</f>
        <v>12</v>
      </c>
    </row>
    <row r="69" spans="1:2" ht="15.6" x14ac:dyDescent="0.3">
      <c r="A69" s="34" t="s">
        <v>75</v>
      </c>
      <c r="B69" s="29">
        <f t="shared" si="3"/>
        <v>11</v>
      </c>
    </row>
    <row r="70" spans="1:2" ht="15.6" x14ac:dyDescent="0.3">
      <c r="A70" s="34" t="s">
        <v>76</v>
      </c>
      <c r="B70" s="29">
        <f t="shared" si="3"/>
        <v>14</v>
      </c>
    </row>
    <row r="71" spans="1:2" ht="15.6" x14ac:dyDescent="0.3">
      <c r="A71" s="34" t="s">
        <v>67</v>
      </c>
      <c r="B71" s="29">
        <f t="shared" si="3"/>
        <v>12</v>
      </c>
    </row>
    <row r="72" spans="1:2" ht="15.6" x14ac:dyDescent="0.3">
      <c r="A72" s="34" t="s">
        <v>68</v>
      </c>
      <c r="B72" s="29">
        <f t="shared" si="3"/>
        <v>12</v>
      </c>
    </row>
    <row r="73" spans="1:2" ht="15.6" x14ac:dyDescent="0.3">
      <c r="A73" s="34" t="s">
        <v>69</v>
      </c>
      <c r="B73" s="29">
        <f t="shared" si="3"/>
        <v>12</v>
      </c>
    </row>
    <row r="74" spans="1:2" ht="15.6" x14ac:dyDescent="0.3">
      <c r="A74" s="34" t="s">
        <v>70</v>
      </c>
      <c r="B74" s="29">
        <f t="shared" si="3"/>
        <v>12</v>
      </c>
    </row>
    <row r="75" spans="1:2" ht="15.6" x14ac:dyDescent="0.3">
      <c r="A75" s="34" t="s">
        <v>71</v>
      </c>
      <c r="B75" s="29">
        <f t="shared" si="3"/>
        <v>12</v>
      </c>
    </row>
    <row r="76" spans="1:2" ht="16.2" thickBot="1" x14ac:dyDescent="0.35">
      <c r="A76" s="35" t="s">
        <v>72</v>
      </c>
      <c r="B76" s="29">
        <f t="shared" si="3"/>
        <v>12</v>
      </c>
    </row>
    <row r="83" spans="1:4" ht="15" thickBot="1" x14ac:dyDescent="0.35"/>
    <row r="84" spans="1:4" ht="18.600000000000001" thickBot="1" x14ac:dyDescent="0.4">
      <c r="B84" s="90" t="s">
        <v>77</v>
      </c>
      <c r="C84" s="91"/>
      <c r="D84" t="s">
        <v>78</v>
      </c>
    </row>
    <row r="85" spans="1:4" ht="18" x14ac:dyDescent="0.3">
      <c r="B85" s="30" t="s">
        <v>61</v>
      </c>
      <c r="C85" s="31"/>
    </row>
    <row r="86" spans="1:4" ht="15.6" x14ac:dyDescent="0.3">
      <c r="A86" t="s">
        <v>87</v>
      </c>
      <c r="B86" s="2" t="s">
        <v>79</v>
      </c>
      <c r="C86" s="29" t="str">
        <f>TRIM(B86)</f>
        <v>Mr. Aarav Sharma</v>
      </c>
    </row>
    <row r="87" spans="1:4" ht="15.6" x14ac:dyDescent="0.3">
      <c r="B87" s="2" t="s">
        <v>80</v>
      </c>
      <c r="C87" s="29" t="str">
        <f t="shared" ref="C87:C95" si="4">TRIM(B87)</f>
        <v>Mr. Rohan Iyer</v>
      </c>
    </row>
    <row r="88" spans="1:4" ht="15.6" x14ac:dyDescent="0.3">
      <c r="B88" s="2" t="s">
        <v>81</v>
      </c>
      <c r="C88" s="29" t="str">
        <f t="shared" si="4"/>
        <v>Mr. Aditya Mehta</v>
      </c>
    </row>
    <row r="89" spans="1:4" ht="15.6" x14ac:dyDescent="0.3">
      <c r="B89" s="2" t="s">
        <v>53</v>
      </c>
      <c r="C89" s="29" t="str">
        <f t="shared" si="4"/>
        <v>Mr. Vikram Malhotra</v>
      </c>
    </row>
    <row r="90" spans="1:4" ht="15.6" x14ac:dyDescent="0.3">
      <c r="B90" s="2" t="s">
        <v>82</v>
      </c>
      <c r="C90" s="29" t="str">
        <f t="shared" si="4"/>
        <v>Mr. Rajat Bansal</v>
      </c>
    </row>
    <row r="91" spans="1:4" ht="15.6" x14ac:dyDescent="0.3">
      <c r="B91" s="2" t="s">
        <v>83</v>
      </c>
      <c r="C91" s="29" t="str">
        <f t="shared" si="4"/>
        <v>Mr. Suresh Reddy</v>
      </c>
    </row>
    <row r="92" spans="1:4" ht="15.6" x14ac:dyDescent="0.3">
      <c r="B92" s="2" t="s">
        <v>84</v>
      </c>
      <c r="C92" s="29" t="str">
        <f t="shared" si="4"/>
        <v>Mr. Arjun Thakur</v>
      </c>
    </row>
    <row r="93" spans="1:4" ht="15.6" x14ac:dyDescent="0.3">
      <c r="B93" s="2" t="s">
        <v>85</v>
      </c>
      <c r="C93" s="29" t="str">
        <f t="shared" si="4"/>
        <v>Mr. Kunal Saxena</v>
      </c>
    </row>
    <row r="94" spans="1:4" ht="15.6" x14ac:dyDescent="0.3">
      <c r="B94" s="2" t="s">
        <v>58</v>
      </c>
      <c r="C94" s="29" t="str">
        <f t="shared" si="4"/>
        <v>Mr. Siddharth Rao</v>
      </c>
    </row>
    <row r="95" spans="1:4" ht="16.2" thickBot="1" x14ac:dyDescent="0.35">
      <c r="B95" s="3" t="s">
        <v>86</v>
      </c>
      <c r="C95" s="29" t="str">
        <f t="shared" si="4"/>
        <v>Mr. Manish Tripathi</v>
      </c>
    </row>
    <row r="101" spans="1:3" ht="15" thickBot="1" x14ac:dyDescent="0.35"/>
    <row r="102" spans="1:3" ht="18.600000000000001" thickBot="1" x14ac:dyDescent="0.4">
      <c r="A102" s="90" t="s">
        <v>88</v>
      </c>
      <c r="B102" s="91"/>
    </row>
    <row r="103" spans="1:3" ht="18" x14ac:dyDescent="0.3">
      <c r="A103" s="30" t="s">
        <v>89</v>
      </c>
      <c r="B103" s="31" t="s">
        <v>90</v>
      </c>
    </row>
    <row r="104" spans="1:3" ht="15.6" x14ac:dyDescent="0.3">
      <c r="A104" s="40" t="s">
        <v>91</v>
      </c>
      <c r="B104" s="29" t="str">
        <f>TEXT(A104,"dddd")</f>
        <v>Friday</v>
      </c>
      <c r="C104" t="str">
        <f>TEXT(A104,"mmmm")</f>
        <v>June</v>
      </c>
    </row>
    <row r="105" spans="1:3" ht="15.6" x14ac:dyDescent="0.3">
      <c r="A105" s="40" t="s">
        <v>92</v>
      </c>
      <c r="B105" s="29" t="str">
        <f t="shared" ref="B105:B113" si="5">TEXT(A105,"dddd")</f>
        <v>Wednesday</v>
      </c>
      <c r="C105" t="str">
        <f t="shared" ref="C105:C113" si="6">TEXT(A105,"mmmm")</f>
        <v>September</v>
      </c>
    </row>
    <row r="106" spans="1:3" ht="15.6" x14ac:dyDescent="0.3">
      <c r="A106" s="40">
        <v>37084</v>
      </c>
      <c r="B106" s="29" t="str">
        <f t="shared" si="5"/>
        <v>Thursday</v>
      </c>
      <c r="C106" t="str">
        <f t="shared" si="6"/>
        <v>July</v>
      </c>
    </row>
    <row r="107" spans="1:3" ht="15.6" x14ac:dyDescent="0.3">
      <c r="A107" s="40" t="s">
        <v>93</v>
      </c>
      <c r="B107" s="29" t="str">
        <f t="shared" si="5"/>
        <v>Tuesday</v>
      </c>
      <c r="C107" t="str">
        <f t="shared" si="6"/>
        <v>April</v>
      </c>
    </row>
    <row r="108" spans="1:3" ht="15.6" x14ac:dyDescent="0.3">
      <c r="A108" s="40" t="s">
        <v>94</v>
      </c>
      <c r="B108" s="29" t="str">
        <f t="shared" si="5"/>
        <v>Wednesday</v>
      </c>
      <c r="C108" t="str">
        <f t="shared" si="6"/>
        <v>July</v>
      </c>
    </row>
    <row r="109" spans="1:3" ht="15.6" x14ac:dyDescent="0.3">
      <c r="A109" s="40">
        <v>36841</v>
      </c>
      <c r="B109" s="29" t="str">
        <f t="shared" si="5"/>
        <v>Saturday</v>
      </c>
      <c r="C109" t="str">
        <f t="shared" si="6"/>
        <v>November</v>
      </c>
    </row>
    <row r="110" spans="1:3" ht="15.6" x14ac:dyDescent="0.3">
      <c r="A110" s="40" t="s">
        <v>95</v>
      </c>
      <c r="B110" s="29" t="str">
        <f t="shared" si="5"/>
        <v>Tuesday</v>
      </c>
      <c r="C110" t="str">
        <f t="shared" si="6"/>
        <v>May</v>
      </c>
    </row>
    <row r="111" spans="1:3" ht="15.6" x14ac:dyDescent="0.3">
      <c r="A111" s="40">
        <v>35491</v>
      </c>
      <c r="B111" s="29" t="str">
        <f t="shared" si="5"/>
        <v>Sunday</v>
      </c>
      <c r="C111" t="str">
        <f t="shared" si="6"/>
        <v>March</v>
      </c>
    </row>
    <row r="112" spans="1:3" ht="15.6" x14ac:dyDescent="0.3">
      <c r="A112" s="40" t="s">
        <v>96</v>
      </c>
      <c r="B112" s="29" t="str">
        <f t="shared" si="5"/>
        <v>Thursday</v>
      </c>
      <c r="C112" t="str">
        <f t="shared" si="6"/>
        <v>August</v>
      </c>
    </row>
    <row r="113" spans="1:7" ht="16.2" thickBot="1" x14ac:dyDescent="0.35">
      <c r="A113" s="41">
        <v>37478</v>
      </c>
      <c r="B113" s="29" t="str">
        <f t="shared" si="5"/>
        <v>Saturday</v>
      </c>
      <c r="C113" t="str">
        <f t="shared" si="6"/>
        <v>August</v>
      </c>
    </row>
    <row r="120" spans="1:7" ht="18.600000000000001" thickBot="1" x14ac:dyDescent="0.4">
      <c r="A120" s="89" t="s">
        <v>97</v>
      </c>
      <c r="B120" s="89"/>
      <c r="F120" s="89" t="s">
        <v>143</v>
      </c>
      <c r="G120" s="89"/>
    </row>
    <row r="121" spans="1:7" ht="18" x14ac:dyDescent="0.3">
      <c r="A121" s="30" t="s">
        <v>25</v>
      </c>
      <c r="B121" s="31" t="s">
        <v>98</v>
      </c>
      <c r="F121" s="30" t="s">
        <v>25</v>
      </c>
      <c r="G121" s="31" t="s">
        <v>144</v>
      </c>
    </row>
    <row r="122" spans="1:7" ht="15.6" x14ac:dyDescent="0.3">
      <c r="A122" s="2" t="s">
        <v>50</v>
      </c>
      <c r="B122" s="29" t="str">
        <f>LOWER(A122)</f>
        <v>mr. aarav sharma</v>
      </c>
      <c r="F122" s="2" t="s">
        <v>50</v>
      </c>
      <c r="G122" s="29" t="str">
        <f>UPPER(F122)</f>
        <v>MR. AARAV SHARMA</v>
      </c>
    </row>
    <row r="123" spans="1:7" ht="15.6" x14ac:dyDescent="0.3">
      <c r="A123" s="2" t="s">
        <v>51</v>
      </c>
      <c r="B123" s="29" t="str">
        <f t="shared" ref="B123:B131" si="7">LOWER(A123)</f>
        <v>mr. rohan iyer</v>
      </c>
      <c r="F123" s="2" t="s">
        <v>51</v>
      </c>
      <c r="G123" s="29" t="str">
        <f t="shared" ref="G123:G131" si="8">UPPER(F123)</f>
        <v>MR. ROHAN IYER</v>
      </c>
    </row>
    <row r="124" spans="1:7" ht="15.6" x14ac:dyDescent="0.3">
      <c r="A124" s="2" t="s">
        <v>52</v>
      </c>
      <c r="B124" s="29" t="str">
        <f t="shared" si="7"/>
        <v>mr. aditya mehta</v>
      </c>
      <c r="F124" s="2" t="s">
        <v>52</v>
      </c>
      <c r="G124" s="29" t="str">
        <f t="shared" si="8"/>
        <v>MR. ADITYA MEHTA</v>
      </c>
    </row>
    <row r="125" spans="1:7" ht="15.6" x14ac:dyDescent="0.3">
      <c r="A125" s="2" t="s">
        <v>53</v>
      </c>
      <c r="B125" s="29" t="str">
        <f t="shared" si="7"/>
        <v>mr. vikram malhotra</v>
      </c>
      <c r="F125" s="2" t="s">
        <v>53</v>
      </c>
      <c r="G125" s="29" t="str">
        <f t="shared" si="8"/>
        <v>MR. VIKRAM MALHOTRA</v>
      </c>
    </row>
    <row r="126" spans="1:7" ht="15.6" x14ac:dyDescent="0.3">
      <c r="A126" s="2" t="s">
        <v>54</v>
      </c>
      <c r="B126" s="29" t="str">
        <f t="shared" si="7"/>
        <v>mr. rajat bansal</v>
      </c>
      <c r="F126" s="2" t="s">
        <v>54</v>
      </c>
      <c r="G126" s="29" t="str">
        <f t="shared" si="8"/>
        <v>MR. RAJAT BANSAL</v>
      </c>
    </row>
    <row r="127" spans="1:7" ht="15.6" x14ac:dyDescent="0.3">
      <c r="A127" s="2" t="s">
        <v>55</v>
      </c>
      <c r="B127" s="29" t="str">
        <f t="shared" si="7"/>
        <v>mr. suresh reddy</v>
      </c>
      <c r="F127" s="2" t="s">
        <v>55</v>
      </c>
      <c r="G127" s="29" t="str">
        <f t="shared" si="8"/>
        <v>MR. SURESH REDDY</v>
      </c>
    </row>
    <row r="128" spans="1:7" ht="15.6" x14ac:dyDescent="0.3">
      <c r="A128" s="2" t="s">
        <v>56</v>
      </c>
      <c r="B128" s="29" t="str">
        <f t="shared" si="7"/>
        <v>mr. arjun thakur</v>
      </c>
      <c r="F128" s="2" t="s">
        <v>56</v>
      </c>
      <c r="G128" s="29" t="str">
        <f t="shared" si="8"/>
        <v>MR. ARJUN THAKUR</v>
      </c>
    </row>
    <row r="129" spans="1:7" ht="15.6" x14ac:dyDescent="0.3">
      <c r="A129" s="2" t="s">
        <v>57</v>
      </c>
      <c r="B129" s="29" t="str">
        <f t="shared" si="7"/>
        <v>mr. kunal saxena</v>
      </c>
      <c r="F129" s="2" t="s">
        <v>57</v>
      </c>
      <c r="G129" s="29" t="str">
        <f t="shared" si="8"/>
        <v>MR. KUNAL SAXENA</v>
      </c>
    </row>
    <row r="130" spans="1:7" ht="15.6" x14ac:dyDescent="0.3">
      <c r="A130" s="2" t="s">
        <v>58</v>
      </c>
      <c r="B130" s="29" t="str">
        <f t="shared" si="7"/>
        <v>mr. siddharth rao</v>
      </c>
      <c r="F130" s="2" t="s">
        <v>58</v>
      </c>
      <c r="G130" s="29" t="str">
        <f t="shared" si="8"/>
        <v>MR. SIDDHARTH RAO</v>
      </c>
    </row>
    <row r="131" spans="1:7" ht="16.2" thickBot="1" x14ac:dyDescent="0.35">
      <c r="A131" s="3" t="s">
        <v>99</v>
      </c>
      <c r="B131" s="29" t="str">
        <f t="shared" si="7"/>
        <v>mr. manish tripathi</v>
      </c>
      <c r="F131" s="3" t="s">
        <v>99</v>
      </c>
      <c r="G131" s="29" t="str">
        <f t="shared" si="8"/>
        <v>MR. MANISH TRIPATHI</v>
      </c>
    </row>
    <row r="141" spans="1:7" ht="18.600000000000001" thickBot="1" x14ac:dyDescent="0.4">
      <c r="A141" s="89" t="s">
        <v>100</v>
      </c>
      <c r="B141" s="89"/>
    </row>
    <row r="142" spans="1:7" ht="18" x14ac:dyDescent="0.3">
      <c r="A142" s="30" t="s">
        <v>25</v>
      </c>
      <c r="B142" s="31" t="s">
        <v>101</v>
      </c>
    </row>
    <row r="143" spans="1:7" ht="15.6" x14ac:dyDescent="0.3">
      <c r="A143" s="2" t="s">
        <v>102</v>
      </c>
      <c r="B143" s="29" t="str">
        <f>PROPER(A143)</f>
        <v>Mr. Aarav Sharma</v>
      </c>
    </row>
    <row r="144" spans="1:7" ht="15.6" x14ac:dyDescent="0.3">
      <c r="A144" s="2" t="s">
        <v>103</v>
      </c>
      <c r="B144" s="29" t="str">
        <f t="shared" ref="B144:B152" si="9">PROPER(A144)</f>
        <v>Mr. Rohan Iyer</v>
      </c>
    </row>
    <row r="145" spans="1:7" ht="15.6" x14ac:dyDescent="0.3">
      <c r="A145" s="2" t="s">
        <v>104</v>
      </c>
      <c r="B145" s="29" t="str">
        <f t="shared" si="9"/>
        <v>Mr. Aditya Mehta</v>
      </c>
    </row>
    <row r="146" spans="1:7" ht="15.6" x14ac:dyDescent="0.3">
      <c r="A146" s="2" t="s">
        <v>105</v>
      </c>
      <c r="B146" s="29" t="str">
        <f t="shared" si="9"/>
        <v>Mr. Vikram Malhotra</v>
      </c>
    </row>
    <row r="147" spans="1:7" ht="15.6" x14ac:dyDescent="0.3">
      <c r="A147" s="2" t="s">
        <v>106</v>
      </c>
      <c r="B147" s="29" t="str">
        <f t="shared" si="9"/>
        <v>Mr. Rajat Bansal</v>
      </c>
    </row>
    <row r="148" spans="1:7" ht="15.6" x14ac:dyDescent="0.3">
      <c r="A148" s="2" t="s">
        <v>107</v>
      </c>
      <c r="B148" s="29" t="str">
        <f t="shared" si="9"/>
        <v>Mr. Suresh Reddy</v>
      </c>
    </row>
    <row r="149" spans="1:7" ht="15.6" x14ac:dyDescent="0.3">
      <c r="A149" s="2" t="s">
        <v>108</v>
      </c>
      <c r="B149" s="29" t="str">
        <f t="shared" si="9"/>
        <v>Mr. Arjun Thakur</v>
      </c>
    </row>
    <row r="150" spans="1:7" ht="15.6" x14ac:dyDescent="0.3">
      <c r="A150" s="2" t="s">
        <v>109</v>
      </c>
      <c r="B150" s="29" t="str">
        <f t="shared" si="9"/>
        <v>Mr. Kunal Saxena</v>
      </c>
    </row>
    <row r="151" spans="1:7" ht="15.6" x14ac:dyDescent="0.3">
      <c r="A151" s="2" t="s">
        <v>110</v>
      </c>
      <c r="B151" s="29" t="str">
        <f t="shared" si="9"/>
        <v>Mr. Siddharth Rao</v>
      </c>
    </row>
    <row r="152" spans="1:7" ht="16.2" thickBot="1" x14ac:dyDescent="0.35">
      <c r="A152" s="3" t="s">
        <v>111</v>
      </c>
      <c r="B152" s="29" t="str">
        <f t="shared" si="9"/>
        <v>Mr. Manish Tripathi</v>
      </c>
    </row>
    <row r="159" spans="1:7" ht="15" thickBot="1" x14ac:dyDescent="0.35"/>
    <row r="160" spans="1:7" ht="18" x14ac:dyDescent="0.35">
      <c r="A160" s="86" t="s">
        <v>112</v>
      </c>
      <c r="B160" s="87"/>
      <c r="C160" s="88"/>
      <c r="E160" s="86" t="s">
        <v>113</v>
      </c>
      <c r="F160" s="87"/>
      <c r="G160" s="88"/>
    </row>
    <row r="161" spans="1:7" ht="18" x14ac:dyDescent="0.3">
      <c r="A161" s="32" t="s">
        <v>114</v>
      </c>
      <c r="B161" s="39" t="s">
        <v>115</v>
      </c>
      <c r="C161" s="33" t="s">
        <v>116</v>
      </c>
      <c r="E161" s="32" t="s">
        <v>114</v>
      </c>
      <c r="F161" s="39" t="s">
        <v>115</v>
      </c>
      <c r="G161" s="33" t="s">
        <v>116</v>
      </c>
    </row>
    <row r="162" spans="1:7" ht="15.6" x14ac:dyDescent="0.3">
      <c r="A162" s="2" t="s">
        <v>117</v>
      </c>
      <c r="B162" s="5" t="s">
        <v>118</v>
      </c>
      <c r="C162" s="36" t="str">
        <f>_xlfn.TEXTJOIN(" ",TRUE,A162,B162)</f>
        <v>Aarav Sharma</v>
      </c>
      <c r="E162" s="2" t="s">
        <v>119</v>
      </c>
      <c r="F162" s="5" t="s">
        <v>118</v>
      </c>
      <c r="G162" s="36" t="s">
        <v>10</v>
      </c>
    </row>
    <row r="163" spans="1:7" ht="15.6" x14ac:dyDescent="0.3">
      <c r="A163" s="2" t="s">
        <v>120</v>
      </c>
      <c r="B163" s="5" t="s">
        <v>121</v>
      </c>
      <c r="C163" s="36" t="str">
        <f t="shared" ref="C163:C171" si="10">_xlfn.TEXTJOIN(" ",TRUE,A163,B163)</f>
        <v>Rohan Iyer</v>
      </c>
      <c r="E163" s="2" t="s">
        <v>120</v>
      </c>
      <c r="F163" s="5" t="s">
        <v>121</v>
      </c>
      <c r="G163" s="36" t="s">
        <v>12</v>
      </c>
    </row>
    <row r="164" spans="1:7" ht="15.6" x14ac:dyDescent="0.3">
      <c r="A164" s="2" t="s">
        <v>122</v>
      </c>
      <c r="B164" s="5" t="s">
        <v>123</v>
      </c>
      <c r="C164" s="36" t="str">
        <f t="shared" si="10"/>
        <v>Aditya Mehta</v>
      </c>
      <c r="E164" s="2" t="s">
        <v>122</v>
      </c>
      <c r="F164" s="5" t="s">
        <v>123</v>
      </c>
      <c r="G164" s="36" t="s">
        <v>14</v>
      </c>
    </row>
    <row r="165" spans="1:7" ht="15.6" x14ac:dyDescent="0.3">
      <c r="A165" s="2" t="s">
        <v>124</v>
      </c>
      <c r="B165" s="5" t="s">
        <v>125</v>
      </c>
      <c r="C165" s="36" t="str">
        <f t="shared" si="10"/>
        <v>Vikram Malhotra</v>
      </c>
      <c r="E165" s="2" t="s">
        <v>124</v>
      </c>
      <c r="F165" s="5" t="s">
        <v>125</v>
      </c>
      <c r="G165" s="36" t="s">
        <v>16</v>
      </c>
    </row>
    <row r="166" spans="1:7" ht="15.6" x14ac:dyDescent="0.3">
      <c r="A166" s="2" t="s">
        <v>126</v>
      </c>
      <c r="B166" s="5" t="s">
        <v>127</v>
      </c>
      <c r="C166" s="36" t="str">
        <f t="shared" si="10"/>
        <v>Rajat Bansal</v>
      </c>
      <c r="E166" s="2" t="s">
        <v>126</v>
      </c>
      <c r="F166" s="5" t="s">
        <v>127</v>
      </c>
      <c r="G166" s="36" t="s">
        <v>18</v>
      </c>
    </row>
    <row r="167" spans="1:7" ht="15.6" x14ac:dyDescent="0.3">
      <c r="A167" s="2" t="s">
        <v>128</v>
      </c>
      <c r="B167" s="5" t="s">
        <v>129</v>
      </c>
      <c r="C167" s="36" t="str">
        <f t="shared" si="10"/>
        <v>Suresh Reddy</v>
      </c>
      <c r="E167" s="2" t="s">
        <v>128</v>
      </c>
      <c r="F167" s="5" t="s">
        <v>129</v>
      </c>
      <c r="G167" s="36" t="s">
        <v>130</v>
      </c>
    </row>
    <row r="168" spans="1:7" ht="15.6" x14ac:dyDescent="0.3">
      <c r="A168" s="2" t="s">
        <v>131</v>
      </c>
      <c r="B168" s="5" t="s">
        <v>132</v>
      </c>
      <c r="C168" s="36" t="str">
        <f t="shared" si="10"/>
        <v>Arjun Thakur</v>
      </c>
      <c r="E168" s="2" t="s">
        <v>131</v>
      </c>
      <c r="F168" s="5" t="s">
        <v>132</v>
      </c>
      <c r="G168" s="36" t="s">
        <v>133</v>
      </c>
    </row>
    <row r="169" spans="1:7" ht="15.6" x14ac:dyDescent="0.3">
      <c r="A169" s="2" t="s">
        <v>134</v>
      </c>
      <c r="B169" s="5" t="s">
        <v>135</v>
      </c>
      <c r="C169" s="36" t="str">
        <f t="shared" si="10"/>
        <v>Kunal Saxena</v>
      </c>
      <c r="E169" s="2" t="s">
        <v>134</v>
      </c>
      <c r="F169" s="5" t="s">
        <v>135</v>
      </c>
      <c r="G169" s="36" t="s">
        <v>136</v>
      </c>
    </row>
    <row r="170" spans="1:7" ht="15.6" x14ac:dyDescent="0.3">
      <c r="A170" s="2" t="s">
        <v>137</v>
      </c>
      <c r="B170" s="5" t="s">
        <v>138</v>
      </c>
      <c r="C170" s="36" t="str">
        <f t="shared" si="10"/>
        <v>Siddharth Rao</v>
      </c>
      <c r="E170" s="2" t="s">
        <v>137</v>
      </c>
      <c r="F170" s="5" t="s">
        <v>138</v>
      </c>
      <c r="G170" s="36" t="s">
        <v>139</v>
      </c>
    </row>
    <row r="171" spans="1:7" ht="16.2" thickBot="1" x14ac:dyDescent="0.35">
      <c r="A171" s="3" t="s">
        <v>140</v>
      </c>
      <c r="B171" s="6" t="s">
        <v>141</v>
      </c>
      <c r="C171" s="36" t="str">
        <f t="shared" si="10"/>
        <v>Manish Tripathi</v>
      </c>
      <c r="E171" s="3" t="s">
        <v>140</v>
      </c>
      <c r="F171" s="6" t="s">
        <v>141</v>
      </c>
      <c r="G171" s="37" t="s">
        <v>142</v>
      </c>
    </row>
    <row r="177" spans="1:2" ht="15" thickBot="1" x14ac:dyDescent="0.35"/>
    <row r="178" spans="1:2" ht="18.600000000000001" thickBot="1" x14ac:dyDescent="0.4">
      <c r="A178" s="90" t="s">
        <v>65</v>
      </c>
      <c r="B178" s="91"/>
    </row>
    <row r="179" spans="1:2" ht="18" x14ac:dyDescent="0.3">
      <c r="A179" s="30" t="s">
        <v>61</v>
      </c>
      <c r="B179" s="31" t="s">
        <v>145</v>
      </c>
    </row>
    <row r="180" spans="1:2" ht="15.6" x14ac:dyDescent="0.3">
      <c r="A180" s="34" t="s">
        <v>63</v>
      </c>
      <c r="B180" s="29" t="str">
        <f>SUBSTITUTE(A180,5678,124)</f>
        <v>AXP-124-MNO</v>
      </c>
    </row>
    <row r="181" spans="1:2" ht="15.6" x14ac:dyDescent="0.3">
      <c r="A181" s="34" t="s">
        <v>64</v>
      </c>
      <c r="B181" s="29" t="str">
        <f>SUBSTITUTE(A181,8492,7860)</f>
        <v>BTR-7860-KLM</v>
      </c>
    </row>
    <row r="182" spans="1:2" ht="15.6" x14ac:dyDescent="0.3">
      <c r="A182" s="34" t="s">
        <v>65</v>
      </c>
      <c r="B182" s="29" t="str">
        <f t="shared" ref="B182:B189" si="11">SUBSTITUTE(A182,8492,7860)</f>
        <v>CQS-2345-XYZ</v>
      </c>
    </row>
    <row r="183" spans="1:2" ht="15.6" x14ac:dyDescent="0.3">
      <c r="A183" s="34" t="s">
        <v>66</v>
      </c>
      <c r="B183" s="29" t="str">
        <f t="shared" si="11"/>
        <v>DYN-6789-PQR</v>
      </c>
    </row>
    <row r="184" spans="1:2" ht="15.6" x14ac:dyDescent="0.3">
      <c r="A184" s="34" t="s">
        <v>67</v>
      </c>
      <c r="B184" s="29" t="str">
        <f t="shared" si="11"/>
        <v>EJM-4532-ABC</v>
      </c>
    </row>
    <row r="185" spans="1:2" ht="15.6" x14ac:dyDescent="0.3">
      <c r="A185" s="34" t="s">
        <v>68</v>
      </c>
      <c r="B185" s="29" t="str">
        <f t="shared" si="11"/>
        <v>FVK-9102-DEF</v>
      </c>
    </row>
    <row r="186" spans="1:2" ht="15.6" x14ac:dyDescent="0.3">
      <c r="A186" s="34" t="s">
        <v>69</v>
      </c>
      <c r="B186" s="29" t="str">
        <f t="shared" si="11"/>
        <v>GWL-3217-GHI</v>
      </c>
    </row>
    <row r="187" spans="1:2" ht="15.6" x14ac:dyDescent="0.3">
      <c r="A187" s="34" t="s">
        <v>70</v>
      </c>
      <c r="B187" s="29" t="str">
        <f t="shared" si="11"/>
        <v>HZS-7654-JKL</v>
      </c>
    </row>
    <row r="188" spans="1:2" ht="15.6" x14ac:dyDescent="0.3">
      <c r="A188" s="34" t="s">
        <v>71</v>
      </c>
      <c r="B188" s="29" t="str">
        <f t="shared" si="11"/>
        <v>JQP-1876-STU</v>
      </c>
    </row>
    <row r="189" spans="1:2" ht="16.2" thickBot="1" x14ac:dyDescent="0.35">
      <c r="A189" s="35" t="s">
        <v>72</v>
      </c>
      <c r="B189" s="29" t="str">
        <f t="shared" si="11"/>
        <v>KRM-5923-VWX</v>
      </c>
    </row>
  </sheetData>
  <mergeCells count="12">
    <mergeCell ref="A1:B1"/>
    <mergeCell ref="A22:B22"/>
    <mergeCell ref="C44:D44"/>
    <mergeCell ref="A160:C160"/>
    <mergeCell ref="E160:G160"/>
    <mergeCell ref="F120:G120"/>
    <mergeCell ref="A178:B178"/>
    <mergeCell ref="A65:B65"/>
    <mergeCell ref="B84:C84"/>
    <mergeCell ref="A102:B102"/>
    <mergeCell ref="A120:B120"/>
    <mergeCell ref="A141:B1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6DDA-BF62-4F07-8E69-CBB3F303E4A9}">
  <dimension ref="A1:J87"/>
  <sheetViews>
    <sheetView topLeftCell="A26" zoomScale="131" workbookViewId="0">
      <selection activeCell="E78" sqref="E78"/>
    </sheetView>
  </sheetViews>
  <sheetFormatPr defaultRowHeight="14.4" x14ac:dyDescent="0.3"/>
  <cols>
    <col min="1" max="1" width="11.6640625" bestFit="1" customWidth="1"/>
    <col min="2" max="2" width="10.44140625" bestFit="1" customWidth="1"/>
    <col min="3" max="4" width="10.33203125" bestFit="1" customWidth="1"/>
    <col min="5" max="5" width="16.77734375" bestFit="1" customWidth="1"/>
    <col min="6" max="6" width="12" bestFit="1" customWidth="1"/>
    <col min="7" max="7" width="20.109375" bestFit="1" customWidth="1"/>
    <col min="8" max="8" width="21.109375" bestFit="1" customWidth="1"/>
    <col min="9" max="9" width="15.44140625" bestFit="1" customWidth="1"/>
    <col min="10" max="10" width="24.88671875" bestFit="1" customWidth="1"/>
  </cols>
  <sheetData>
    <row r="1" spans="1:10" ht="15" thickBot="1" x14ac:dyDescent="0.35">
      <c r="A1" s="62" t="s">
        <v>146</v>
      </c>
      <c r="B1" s="92">
        <f ca="1">TODAY()</f>
        <v>46137</v>
      </c>
      <c r="C1" s="93"/>
      <c r="D1" s="94"/>
      <c r="E1" s="42"/>
      <c r="F1" s="62" t="s">
        <v>147</v>
      </c>
      <c r="G1" s="95">
        <f ca="1">NOW()</f>
        <v>46137.034299884261</v>
      </c>
      <c r="H1" s="96"/>
      <c r="I1" s="97"/>
      <c r="J1" s="69"/>
    </row>
    <row r="3" spans="1:10" ht="15" thickBot="1" x14ac:dyDescent="0.35"/>
    <row r="4" spans="1:10" x14ac:dyDescent="0.3">
      <c r="A4" s="46" t="s">
        <v>148</v>
      </c>
      <c r="B4" s="63" t="s">
        <v>88</v>
      </c>
      <c r="C4" s="49" t="s">
        <v>149</v>
      </c>
      <c r="D4" s="50" t="s">
        <v>150</v>
      </c>
      <c r="E4" s="61" t="s">
        <v>151</v>
      </c>
    </row>
    <row r="5" spans="1:10" x14ac:dyDescent="0.3">
      <c r="A5" s="47">
        <v>41043</v>
      </c>
      <c r="B5" s="64" t="str">
        <f>TEXT(A5,"dddd")</f>
        <v>Monday</v>
      </c>
      <c r="C5" s="5">
        <f>DAY(A5)</f>
        <v>14</v>
      </c>
      <c r="D5" s="5">
        <f>MONTH(A5)</f>
        <v>5</v>
      </c>
      <c r="E5" s="43">
        <f>YEAR(A5)</f>
        <v>2012</v>
      </c>
    </row>
    <row r="6" spans="1:10" x14ac:dyDescent="0.3">
      <c r="A6" s="47">
        <v>36126</v>
      </c>
      <c r="B6" s="64" t="str">
        <f t="shared" ref="B6:B14" si="0">TEXT(A6,"dddd")</f>
        <v>Friday</v>
      </c>
      <c r="C6" s="5">
        <f t="shared" ref="C6:C14" si="1">DAY(A6)</f>
        <v>27</v>
      </c>
      <c r="D6" s="5">
        <f t="shared" ref="D6:D14" si="2">MONTH(A6)</f>
        <v>11</v>
      </c>
      <c r="E6" s="43">
        <f t="shared" ref="E6:E14" si="3">YEAR(A6)</f>
        <v>1998</v>
      </c>
    </row>
    <row r="7" spans="1:10" x14ac:dyDescent="0.3">
      <c r="A7" s="47">
        <v>45147</v>
      </c>
      <c r="B7" s="64" t="str">
        <f t="shared" si="0"/>
        <v>Wednesday</v>
      </c>
      <c r="C7" s="5">
        <f t="shared" si="1"/>
        <v>9</v>
      </c>
      <c r="D7" s="5">
        <f t="shared" si="2"/>
        <v>8</v>
      </c>
      <c r="E7" s="43">
        <f t="shared" si="3"/>
        <v>2023</v>
      </c>
    </row>
    <row r="8" spans="1:10" x14ac:dyDescent="0.3">
      <c r="A8" s="47">
        <v>38383</v>
      </c>
      <c r="B8" s="64" t="str">
        <f t="shared" si="0"/>
        <v>Monday</v>
      </c>
      <c r="C8" s="5">
        <f t="shared" si="1"/>
        <v>31</v>
      </c>
      <c r="D8" s="5">
        <f t="shared" si="2"/>
        <v>1</v>
      </c>
      <c r="E8" s="43">
        <f t="shared" si="3"/>
        <v>2005</v>
      </c>
    </row>
    <row r="9" spans="1:10" x14ac:dyDescent="0.3">
      <c r="A9" s="47">
        <v>42938</v>
      </c>
      <c r="B9" s="64" t="str">
        <f t="shared" si="0"/>
        <v>Saturday</v>
      </c>
      <c r="C9" s="5">
        <f t="shared" si="1"/>
        <v>22</v>
      </c>
      <c r="D9" s="5">
        <f t="shared" si="2"/>
        <v>7</v>
      </c>
      <c r="E9" s="43">
        <f t="shared" si="3"/>
        <v>2017</v>
      </c>
    </row>
    <row r="10" spans="1:10" x14ac:dyDescent="0.3">
      <c r="A10" s="47">
        <v>34247</v>
      </c>
      <c r="B10" s="64" t="str">
        <f t="shared" si="0"/>
        <v>Tuesday</v>
      </c>
      <c r="C10" s="5">
        <f t="shared" si="1"/>
        <v>5</v>
      </c>
      <c r="D10" s="5">
        <f t="shared" si="2"/>
        <v>10</v>
      </c>
      <c r="E10" s="43">
        <f t="shared" si="3"/>
        <v>1993</v>
      </c>
    </row>
    <row r="11" spans="1:10" x14ac:dyDescent="0.3">
      <c r="A11" s="47">
        <v>40255</v>
      </c>
      <c r="B11" s="64" t="str">
        <f t="shared" si="0"/>
        <v>Thursday</v>
      </c>
      <c r="C11" s="5">
        <f t="shared" si="1"/>
        <v>18</v>
      </c>
      <c r="D11" s="5">
        <f t="shared" si="2"/>
        <v>3</v>
      </c>
      <c r="E11" s="43">
        <f t="shared" si="3"/>
        <v>2010</v>
      </c>
    </row>
    <row r="12" spans="1:10" x14ac:dyDescent="0.3">
      <c r="A12" s="47">
        <v>44536</v>
      </c>
      <c r="B12" s="64" t="str">
        <f t="shared" si="0"/>
        <v>Monday</v>
      </c>
      <c r="C12" s="5">
        <f t="shared" si="1"/>
        <v>6</v>
      </c>
      <c r="D12" s="5">
        <f t="shared" si="2"/>
        <v>12</v>
      </c>
      <c r="E12" s="43">
        <f t="shared" si="3"/>
        <v>2021</v>
      </c>
    </row>
    <row r="13" spans="1:10" x14ac:dyDescent="0.3">
      <c r="A13" s="47">
        <v>36645</v>
      </c>
      <c r="B13" s="64" t="str">
        <f t="shared" si="0"/>
        <v>Saturday</v>
      </c>
      <c r="C13" s="5">
        <f t="shared" si="1"/>
        <v>29</v>
      </c>
      <c r="D13" s="5">
        <f t="shared" si="2"/>
        <v>4</v>
      </c>
      <c r="E13" s="43">
        <f t="shared" si="3"/>
        <v>2000</v>
      </c>
    </row>
    <row r="14" spans="1:10" ht="15" thickBot="1" x14ac:dyDescent="0.35">
      <c r="A14" s="48">
        <v>42258</v>
      </c>
      <c r="B14" s="64" t="str">
        <f t="shared" si="0"/>
        <v>Friday</v>
      </c>
      <c r="C14" s="5">
        <f t="shared" si="1"/>
        <v>11</v>
      </c>
      <c r="D14" s="5">
        <f t="shared" si="2"/>
        <v>9</v>
      </c>
      <c r="E14" s="43">
        <f t="shared" si="3"/>
        <v>2015</v>
      </c>
    </row>
    <row r="21" spans="2:10" ht="15" thickBot="1" x14ac:dyDescent="0.35"/>
    <row r="22" spans="2:10" x14ac:dyDescent="0.3">
      <c r="B22" s="54" t="s">
        <v>152</v>
      </c>
      <c r="C22" s="54" t="s">
        <v>153</v>
      </c>
      <c r="D22" s="55" t="s">
        <v>154</v>
      </c>
      <c r="E22" s="51" t="s">
        <v>90</v>
      </c>
      <c r="F22" s="52" t="s">
        <v>155</v>
      </c>
      <c r="G22" s="50" t="s">
        <v>156</v>
      </c>
      <c r="H22" s="50" t="s">
        <v>157</v>
      </c>
      <c r="I22" s="53" t="s">
        <v>158</v>
      </c>
      <c r="J22" s="53" t="s">
        <v>159</v>
      </c>
    </row>
    <row r="23" spans="2:10" x14ac:dyDescent="0.3">
      <c r="B23" s="65">
        <v>45385</v>
      </c>
      <c r="C23" s="44">
        <v>45604</v>
      </c>
      <c r="D23" s="56">
        <v>45646</v>
      </c>
      <c r="E23" s="5">
        <f>_xlfn.DAYS(D23,C23)</f>
        <v>42</v>
      </c>
      <c r="F23" s="5">
        <f>DAYS360(C23,D23)</f>
        <v>42</v>
      </c>
      <c r="G23" s="5">
        <f>NETWORKDAYS(C23,D23)</f>
        <v>31</v>
      </c>
      <c r="H23" s="70">
        <f>NETWORKDAYS(C23,D23,$B$23:$B$32)</f>
        <v>31</v>
      </c>
      <c r="I23" s="43">
        <f>NETWORKDAYS.INTL(C23,D23,11)</f>
        <v>37</v>
      </c>
      <c r="J23" s="43">
        <f>NETWORKDAYS.INTL(C23,D23,11,$B$23:$B$32)</f>
        <v>37</v>
      </c>
    </row>
    <row r="24" spans="2:10" x14ac:dyDescent="0.3">
      <c r="B24" s="65">
        <v>45428</v>
      </c>
      <c r="C24" s="44">
        <v>45342</v>
      </c>
      <c r="D24" s="56">
        <v>45562</v>
      </c>
      <c r="E24" s="5">
        <f t="shared" ref="E24:E32" si="4">_xlfn.DAYS(D24,C24)</f>
        <v>220</v>
      </c>
      <c r="F24" s="5">
        <f t="shared" ref="F24:F32" si="5">DAYS360(C24,D24)</f>
        <v>217</v>
      </c>
      <c r="G24" s="5">
        <f t="shared" ref="G24:G32" si="6">NETWORKDAYS(C24,D24)</f>
        <v>159</v>
      </c>
      <c r="H24" s="70">
        <f t="shared" ref="H24:H32" si="7">NETWORKDAYS(C24,D24,$B$23:$B$32)</f>
        <v>155</v>
      </c>
      <c r="I24" s="43">
        <f t="shared" ref="I24:I32" si="8">NETWORKDAYS.INTL(C24,D24,11)</f>
        <v>190</v>
      </c>
      <c r="J24" s="43">
        <f t="shared" ref="J24:J32" si="9">NETWORKDAYS.INTL(C24,D24,11,$B$23:$B$32)</f>
        <v>185</v>
      </c>
    </row>
    <row r="25" spans="2:10" x14ac:dyDescent="0.3">
      <c r="B25" s="65">
        <v>45509</v>
      </c>
      <c r="C25" s="44">
        <v>45680</v>
      </c>
      <c r="D25" s="56">
        <v>45723</v>
      </c>
      <c r="E25" s="5">
        <f t="shared" si="4"/>
        <v>43</v>
      </c>
      <c r="F25" s="5">
        <f t="shared" si="5"/>
        <v>44</v>
      </c>
      <c r="G25" s="5">
        <f t="shared" si="6"/>
        <v>32</v>
      </c>
      <c r="H25" s="70">
        <f t="shared" si="7"/>
        <v>31</v>
      </c>
      <c r="I25" s="43">
        <f t="shared" si="8"/>
        <v>38</v>
      </c>
      <c r="J25" s="43">
        <f t="shared" si="9"/>
        <v>37</v>
      </c>
    </row>
    <row r="26" spans="2:10" x14ac:dyDescent="0.3">
      <c r="B26" s="65">
        <v>45529</v>
      </c>
      <c r="C26" s="44">
        <v>45292</v>
      </c>
      <c r="D26" s="56">
        <v>45433</v>
      </c>
      <c r="E26" s="5">
        <f t="shared" si="4"/>
        <v>141</v>
      </c>
      <c r="F26" s="5">
        <f t="shared" si="5"/>
        <v>140</v>
      </c>
      <c r="G26" s="5">
        <f t="shared" si="6"/>
        <v>102</v>
      </c>
      <c r="H26" s="70">
        <f t="shared" si="7"/>
        <v>100</v>
      </c>
      <c r="I26" s="43">
        <f t="shared" si="8"/>
        <v>122</v>
      </c>
      <c r="J26" s="43">
        <f t="shared" si="9"/>
        <v>120</v>
      </c>
    </row>
    <row r="27" spans="2:10" x14ac:dyDescent="0.3">
      <c r="B27" s="65">
        <v>45535</v>
      </c>
      <c r="C27" s="44">
        <v>45441</v>
      </c>
      <c r="D27" s="56">
        <v>45595</v>
      </c>
      <c r="E27" s="5">
        <f t="shared" si="4"/>
        <v>154</v>
      </c>
      <c r="F27" s="5">
        <f t="shared" si="5"/>
        <v>151</v>
      </c>
      <c r="G27" s="5">
        <f t="shared" si="6"/>
        <v>111</v>
      </c>
      <c r="H27" s="70">
        <f t="shared" si="7"/>
        <v>108</v>
      </c>
      <c r="I27" s="43">
        <f t="shared" si="8"/>
        <v>133</v>
      </c>
      <c r="J27" s="43">
        <f t="shared" si="9"/>
        <v>129</v>
      </c>
    </row>
    <row r="28" spans="2:10" x14ac:dyDescent="0.3">
      <c r="B28" s="65">
        <v>45553</v>
      </c>
      <c r="C28" s="44">
        <v>45632</v>
      </c>
      <c r="D28" s="56">
        <v>45701</v>
      </c>
      <c r="E28" s="5">
        <f t="shared" si="4"/>
        <v>69</v>
      </c>
      <c r="F28" s="5">
        <f t="shared" si="5"/>
        <v>67</v>
      </c>
      <c r="G28" s="5">
        <f t="shared" si="6"/>
        <v>50</v>
      </c>
      <c r="H28" s="70">
        <f t="shared" si="7"/>
        <v>48</v>
      </c>
      <c r="I28" s="43">
        <f t="shared" si="8"/>
        <v>60</v>
      </c>
      <c r="J28" s="43">
        <f t="shared" si="9"/>
        <v>58</v>
      </c>
    </row>
    <row r="29" spans="2:10" x14ac:dyDescent="0.3">
      <c r="B29" s="65">
        <v>45590</v>
      </c>
      <c r="C29" s="44">
        <v>45526</v>
      </c>
      <c r="D29" s="56">
        <v>45724</v>
      </c>
      <c r="E29" s="5">
        <f t="shared" si="4"/>
        <v>198</v>
      </c>
      <c r="F29" s="5">
        <f t="shared" si="5"/>
        <v>196</v>
      </c>
      <c r="G29" s="5">
        <f t="shared" si="6"/>
        <v>142</v>
      </c>
      <c r="H29" s="70">
        <f t="shared" si="7"/>
        <v>138</v>
      </c>
      <c r="I29" s="43">
        <f t="shared" si="8"/>
        <v>171</v>
      </c>
      <c r="J29" s="43">
        <f t="shared" si="9"/>
        <v>166</v>
      </c>
    </row>
    <row r="30" spans="2:10" x14ac:dyDescent="0.3">
      <c r="B30" s="65">
        <v>45652</v>
      </c>
      <c r="C30" s="44">
        <v>45668</v>
      </c>
      <c r="D30" s="56">
        <v>45705</v>
      </c>
      <c r="E30" s="5">
        <f t="shared" si="4"/>
        <v>37</v>
      </c>
      <c r="F30" s="5">
        <f t="shared" si="5"/>
        <v>36</v>
      </c>
      <c r="G30" s="5">
        <f t="shared" si="6"/>
        <v>26</v>
      </c>
      <c r="H30" s="70">
        <f t="shared" si="7"/>
        <v>25</v>
      </c>
      <c r="I30" s="43">
        <f t="shared" si="8"/>
        <v>32</v>
      </c>
      <c r="J30" s="43">
        <f t="shared" si="9"/>
        <v>31</v>
      </c>
    </row>
    <row r="31" spans="2:10" x14ac:dyDescent="0.3">
      <c r="B31" s="65">
        <v>45693</v>
      </c>
      <c r="C31" s="44">
        <v>45509</v>
      </c>
      <c r="D31" s="56">
        <v>45763</v>
      </c>
      <c r="E31" s="5">
        <f t="shared" si="4"/>
        <v>254</v>
      </c>
      <c r="F31" s="5">
        <f t="shared" si="5"/>
        <v>251</v>
      </c>
      <c r="G31" s="5">
        <f t="shared" si="6"/>
        <v>183</v>
      </c>
      <c r="H31" s="70">
        <f t="shared" si="7"/>
        <v>178</v>
      </c>
      <c r="I31" s="43">
        <f t="shared" si="8"/>
        <v>219</v>
      </c>
      <c r="J31" s="43">
        <f t="shared" si="9"/>
        <v>213</v>
      </c>
    </row>
    <row r="32" spans="2:10" ht="15" thickBot="1" x14ac:dyDescent="0.35">
      <c r="B32" s="66">
        <v>45693</v>
      </c>
      <c r="C32" s="45">
        <v>45602</v>
      </c>
      <c r="D32" s="57">
        <v>45662</v>
      </c>
      <c r="E32" s="5">
        <f t="shared" si="4"/>
        <v>60</v>
      </c>
      <c r="F32" s="5">
        <f t="shared" si="5"/>
        <v>59</v>
      </c>
      <c r="G32" s="5">
        <f t="shared" si="6"/>
        <v>43</v>
      </c>
      <c r="H32" s="70">
        <f t="shared" si="7"/>
        <v>42</v>
      </c>
      <c r="I32" s="43">
        <f t="shared" si="8"/>
        <v>52</v>
      </c>
      <c r="J32" s="43">
        <f t="shared" si="9"/>
        <v>51</v>
      </c>
    </row>
    <row r="39" spans="2:6" ht="15" thickBot="1" x14ac:dyDescent="0.35"/>
    <row r="40" spans="2:6" x14ac:dyDescent="0.3">
      <c r="B40" s="54" t="s">
        <v>153</v>
      </c>
      <c r="C40" s="55" t="s">
        <v>160</v>
      </c>
      <c r="D40" s="55" t="s">
        <v>90</v>
      </c>
      <c r="E40" s="55" t="s">
        <v>161</v>
      </c>
      <c r="F40" s="55" t="s">
        <v>162</v>
      </c>
    </row>
    <row r="41" spans="2:6" x14ac:dyDescent="0.3">
      <c r="B41" s="44">
        <v>45604</v>
      </c>
      <c r="C41" s="14">
        <v>2</v>
      </c>
      <c r="D41" s="14">
        <v>60</v>
      </c>
      <c r="E41" s="72">
        <f>EDATE(B41,2)</f>
        <v>45665</v>
      </c>
      <c r="F41" s="72">
        <f>EOMONTH(B41,2)</f>
        <v>45688</v>
      </c>
    </row>
    <row r="42" spans="2:6" x14ac:dyDescent="0.3">
      <c r="B42" s="44">
        <v>45342</v>
      </c>
      <c r="C42" s="14">
        <v>3</v>
      </c>
      <c r="D42" s="14">
        <v>90</v>
      </c>
      <c r="E42" s="72">
        <f t="shared" ref="E42:E50" si="10">EDATE(B42,2)</f>
        <v>45402</v>
      </c>
      <c r="F42" s="72">
        <f t="shared" ref="F42:F50" si="11">EOMONTH(B42,2)</f>
        <v>45412</v>
      </c>
    </row>
    <row r="43" spans="2:6" x14ac:dyDescent="0.3">
      <c r="B43" s="44">
        <v>45680</v>
      </c>
      <c r="C43" s="14">
        <v>3</v>
      </c>
      <c r="D43" s="14">
        <v>65</v>
      </c>
      <c r="E43" s="72">
        <f t="shared" si="10"/>
        <v>45739</v>
      </c>
      <c r="F43" s="72">
        <f t="shared" si="11"/>
        <v>45747</v>
      </c>
    </row>
    <row r="44" spans="2:6" x14ac:dyDescent="0.3">
      <c r="B44" s="44">
        <v>45292</v>
      </c>
      <c r="C44" s="14">
        <v>4</v>
      </c>
      <c r="D44" s="14">
        <v>52</v>
      </c>
      <c r="E44" s="72">
        <f t="shared" si="10"/>
        <v>45352</v>
      </c>
      <c r="F44" s="72">
        <f t="shared" si="11"/>
        <v>45382</v>
      </c>
    </row>
    <row r="45" spans="2:6" x14ac:dyDescent="0.3">
      <c r="B45" s="44">
        <v>45441</v>
      </c>
      <c r="C45" s="14">
        <v>6</v>
      </c>
      <c r="D45" s="14">
        <v>62</v>
      </c>
      <c r="E45" s="72">
        <f t="shared" si="10"/>
        <v>45502</v>
      </c>
      <c r="F45" s="72">
        <f t="shared" si="11"/>
        <v>45504</v>
      </c>
    </row>
    <row r="46" spans="2:6" x14ac:dyDescent="0.3">
      <c r="B46" s="44">
        <v>45632</v>
      </c>
      <c r="C46" s="14">
        <v>5</v>
      </c>
      <c r="D46" s="14">
        <v>32</v>
      </c>
      <c r="E46" s="72">
        <f t="shared" si="10"/>
        <v>45694</v>
      </c>
      <c r="F46" s="72">
        <f t="shared" si="11"/>
        <v>45716</v>
      </c>
    </row>
    <row r="47" spans="2:6" x14ac:dyDescent="0.3">
      <c r="B47" s="44">
        <v>45526</v>
      </c>
      <c r="C47" s="14">
        <v>2</v>
      </c>
      <c r="D47" s="14">
        <v>60</v>
      </c>
      <c r="E47" s="72">
        <f t="shared" si="10"/>
        <v>45587</v>
      </c>
      <c r="F47" s="72">
        <f t="shared" si="11"/>
        <v>45596</v>
      </c>
    </row>
    <row r="48" spans="2:6" x14ac:dyDescent="0.3">
      <c r="B48" s="44">
        <v>45668</v>
      </c>
      <c r="C48" s="14">
        <v>3</v>
      </c>
      <c r="D48" s="14">
        <v>90</v>
      </c>
      <c r="E48" s="72">
        <f t="shared" si="10"/>
        <v>45727</v>
      </c>
      <c r="F48" s="72">
        <f t="shared" si="11"/>
        <v>45747</v>
      </c>
    </row>
    <row r="49" spans="1:7" x14ac:dyDescent="0.3">
      <c r="B49" s="44">
        <v>45509</v>
      </c>
      <c r="C49" s="14">
        <v>1</v>
      </c>
      <c r="D49" s="14">
        <v>30</v>
      </c>
      <c r="E49" s="72">
        <f t="shared" si="10"/>
        <v>45570</v>
      </c>
      <c r="F49" s="72">
        <f t="shared" si="11"/>
        <v>45596</v>
      </c>
    </row>
    <row r="50" spans="1:7" ht="15" thickBot="1" x14ac:dyDescent="0.35">
      <c r="B50" s="45">
        <v>45602</v>
      </c>
      <c r="C50" s="38">
        <v>2</v>
      </c>
      <c r="D50" s="71">
        <v>62</v>
      </c>
      <c r="E50" s="72">
        <f t="shared" si="10"/>
        <v>45663</v>
      </c>
      <c r="F50" s="72">
        <f t="shared" si="11"/>
        <v>45688</v>
      </c>
    </row>
    <row r="58" spans="1:7" ht="15" thickBot="1" x14ac:dyDescent="0.35"/>
    <row r="59" spans="1:7" x14ac:dyDescent="0.3">
      <c r="A59" s="54" t="s">
        <v>153</v>
      </c>
      <c r="B59" s="54" t="s">
        <v>152</v>
      </c>
      <c r="C59" s="55" t="s">
        <v>90</v>
      </c>
      <c r="D59" s="55" t="s">
        <v>163</v>
      </c>
      <c r="E59" s="55" t="s">
        <v>164</v>
      </c>
      <c r="F59" s="60" t="s">
        <v>165</v>
      </c>
      <c r="G59" s="60" t="s">
        <v>166</v>
      </c>
    </row>
    <row r="60" spans="1:7" x14ac:dyDescent="0.3">
      <c r="A60" s="44">
        <v>45604</v>
      </c>
      <c r="B60" s="65">
        <v>45385</v>
      </c>
      <c r="C60" s="58">
        <v>50</v>
      </c>
      <c r="D60" s="73">
        <f>WORKDAY(A60,D50)</f>
        <v>45692</v>
      </c>
      <c r="E60" s="73">
        <f>WORKDAY(A60,D50,$B$60:$B$69)</f>
        <v>45694</v>
      </c>
      <c r="F60" s="74">
        <f>WORKDAY.INTL(A60,50,11)</f>
        <v>45663</v>
      </c>
      <c r="G60" s="74">
        <f>WORKDAY.INTL(A60,50,11,$B$60:$B$69)</f>
        <v>45664</v>
      </c>
    </row>
    <row r="61" spans="1:7" x14ac:dyDescent="0.3">
      <c r="A61" s="44">
        <v>45342</v>
      </c>
      <c r="B61" s="65">
        <v>45428</v>
      </c>
      <c r="C61" s="58">
        <v>60</v>
      </c>
      <c r="D61" s="73">
        <f t="shared" ref="D61:D69" si="12">WORKDAY(A61,D51)</f>
        <v>45342</v>
      </c>
      <c r="E61" s="73">
        <f t="shared" ref="E61:E69" si="13">WORKDAY(A61,D51,$B$60:$B$69)</f>
        <v>45342</v>
      </c>
      <c r="F61" s="74">
        <f t="shared" ref="F61:F69" si="14">WORKDAY.INTL(A61,50,11)</f>
        <v>45400</v>
      </c>
      <c r="G61" s="74">
        <f t="shared" ref="G61:G69" si="15">WORKDAY.INTL(A61,50,11,$B$60:$B$69)</f>
        <v>45401</v>
      </c>
    </row>
    <row r="62" spans="1:7" x14ac:dyDescent="0.3">
      <c r="A62" s="44">
        <v>45680</v>
      </c>
      <c r="B62" s="65">
        <v>45509</v>
      </c>
      <c r="C62" s="58">
        <v>20</v>
      </c>
      <c r="D62" s="73">
        <f t="shared" si="12"/>
        <v>45680</v>
      </c>
      <c r="E62" s="73">
        <f t="shared" si="13"/>
        <v>45680</v>
      </c>
      <c r="F62" s="74">
        <f t="shared" si="14"/>
        <v>45738</v>
      </c>
      <c r="G62" s="74">
        <f t="shared" si="15"/>
        <v>45740</v>
      </c>
    </row>
    <row r="63" spans="1:7" x14ac:dyDescent="0.3">
      <c r="A63" s="44">
        <v>45292</v>
      </c>
      <c r="B63" s="65">
        <v>45529</v>
      </c>
      <c r="C63" s="58">
        <v>35</v>
      </c>
      <c r="D63" s="73">
        <f t="shared" si="12"/>
        <v>45292</v>
      </c>
      <c r="E63" s="73">
        <f t="shared" si="13"/>
        <v>45292</v>
      </c>
      <c r="F63" s="74">
        <f t="shared" si="14"/>
        <v>45350</v>
      </c>
      <c r="G63" s="74">
        <f t="shared" si="15"/>
        <v>45350</v>
      </c>
    </row>
    <row r="64" spans="1:7" x14ac:dyDescent="0.3">
      <c r="A64" s="44">
        <v>45441</v>
      </c>
      <c r="B64" s="65">
        <v>45535</v>
      </c>
      <c r="C64" s="58">
        <v>45</v>
      </c>
      <c r="D64" s="73">
        <f t="shared" si="12"/>
        <v>45441</v>
      </c>
      <c r="E64" s="73">
        <f t="shared" si="13"/>
        <v>45441</v>
      </c>
      <c r="F64" s="74">
        <f t="shared" si="14"/>
        <v>45499</v>
      </c>
      <c r="G64" s="74">
        <f t="shared" si="15"/>
        <v>45499</v>
      </c>
    </row>
    <row r="65" spans="1:7" x14ac:dyDescent="0.3">
      <c r="A65" s="44">
        <v>45632</v>
      </c>
      <c r="B65" s="65">
        <v>45553</v>
      </c>
      <c r="C65" s="58">
        <v>52</v>
      </c>
      <c r="D65" s="73">
        <f t="shared" si="12"/>
        <v>45632</v>
      </c>
      <c r="E65" s="73">
        <f t="shared" si="13"/>
        <v>45632</v>
      </c>
      <c r="F65" s="74">
        <f t="shared" si="14"/>
        <v>45691</v>
      </c>
      <c r="G65" s="74">
        <f t="shared" si="15"/>
        <v>45692</v>
      </c>
    </row>
    <row r="66" spans="1:7" x14ac:dyDescent="0.3">
      <c r="A66" s="44">
        <v>45526</v>
      </c>
      <c r="B66" s="65">
        <v>45590</v>
      </c>
      <c r="C66" s="58">
        <v>42</v>
      </c>
      <c r="D66" s="73">
        <f t="shared" si="12"/>
        <v>45526</v>
      </c>
      <c r="E66" s="73">
        <f t="shared" si="13"/>
        <v>45526</v>
      </c>
      <c r="F66" s="74">
        <f t="shared" si="14"/>
        <v>45584</v>
      </c>
      <c r="G66" s="74">
        <f t="shared" si="15"/>
        <v>45587</v>
      </c>
    </row>
    <row r="67" spans="1:7" x14ac:dyDescent="0.3">
      <c r="A67" s="44">
        <v>45668</v>
      </c>
      <c r="B67" s="65">
        <v>45652</v>
      </c>
      <c r="C67" s="58">
        <v>50</v>
      </c>
      <c r="D67" s="73">
        <f t="shared" si="12"/>
        <v>45668</v>
      </c>
      <c r="E67" s="73">
        <f t="shared" si="13"/>
        <v>45668</v>
      </c>
      <c r="F67" s="74">
        <f t="shared" si="14"/>
        <v>45727</v>
      </c>
      <c r="G67" s="74">
        <f t="shared" si="15"/>
        <v>45728</v>
      </c>
    </row>
    <row r="68" spans="1:7" x14ac:dyDescent="0.3">
      <c r="A68" s="44">
        <v>45509</v>
      </c>
      <c r="B68" s="65">
        <v>45693</v>
      </c>
      <c r="C68" s="58">
        <v>52</v>
      </c>
      <c r="D68" s="73">
        <f t="shared" si="12"/>
        <v>45509</v>
      </c>
      <c r="E68" s="73">
        <f t="shared" si="13"/>
        <v>45509</v>
      </c>
      <c r="F68" s="74">
        <f t="shared" si="14"/>
        <v>45567</v>
      </c>
      <c r="G68" s="74">
        <f t="shared" si="15"/>
        <v>45569</v>
      </c>
    </row>
    <row r="69" spans="1:7" ht="15" thickBot="1" x14ac:dyDescent="0.35">
      <c r="A69" s="45">
        <v>45602</v>
      </c>
      <c r="B69" s="66">
        <v>45693</v>
      </c>
      <c r="C69" s="59">
        <v>42</v>
      </c>
      <c r="D69" s="73" t="e">
        <f t="shared" si="12"/>
        <v>#VALUE!</v>
      </c>
      <c r="E69" s="73" t="e">
        <f t="shared" si="13"/>
        <v>#VALUE!</v>
      </c>
      <c r="F69" s="74">
        <f t="shared" si="14"/>
        <v>45660</v>
      </c>
      <c r="G69" s="74">
        <f t="shared" si="15"/>
        <v>45661</v>
      </c>
    </row>
    <row r="72" spans="1:7" x14ac:dyDescent="0.3">
      <c r="G72" s="77"/>
    </row>
    <row r="76" spans="1:7" ht="15" thickBot="1" x14ac:dyDescent="0.35"/>
    <row r="77" spans="1:7" x14ac:dyDescent="0.3">
      <c r="B77" s="54" t="s">
        <v>167</v>
      </c>
      <c r="C77" s="54" t="s">
        <v>168</v>
      </c>
      <c r="D77" s="55" t="s">
        <v>169</v>
      </c>
      <c r="E77" s="55" t="s">
        <v>170</v>
      </c>
    </row>
    <row r="78" spans="1:7" x14ac:dyDescent="0.3">
      <c r="B78" s="67">
        <v>0.38255787037037037</v>
      </c>
      <c r="C78" s="75">
        <f>HOUR(B78)</f>
        <v>9</v>
      </c>
      <c r="D78" s="58">
        <f>MINUTE(B78)</f>
        <v>10</v>
      </c>
      <c r="E78" s="76">
        <f>SECOND(B78)</f>
        <v>53</v>
      </c>
    </row>
    <row r="79" spans="1:7" x14ac:dyDescent="0.3">
      <c r="B79" s="67">
        <v>0.92321759259259262</v>
      </c>
      <c r="C79" s="75">
        <f t="shared" ref="C79:C87" si="16">HOUR(B79)</f>
        <v>22</v>
      </c>
      <c r="D79" s="58">
        <f t="shared" ref="D79:D87" si="17">MINUTE(B79)</f>
        <v>9</v>
      </c>
      <c r="E79" s="76">
        <f t="shared" ref="E79:E87" si="18">SECOND(B79)</f>
        <v>26</v>
      </c>
    </row>
    <row r="80" spans="1:7" x14ac:dyDescent="0.3">
      <c r="B80" s="67">
        <v>6.6527777777777783E-2</v>
      </c>
      <c r="C80" s="75">
        <f t="shared" si="16"/>
        <v>1</v>
      </c>
      <c r="D80" s="58">
        <f t="shared" si="17"/>
        <v>35</v>
      </c>
      <c r="E80" s="76">
        <f t="shared" si="18"/>
        <v>48</v>
      </c>
    </row>
    <row r="81" spans="2:5" x14ac:dyDescent="0.3">
      <c r="B81" s="67">
        <v>0.96116898148148144</v>
      </c>
      <c r="C81" s="75">
        <f t="shared" si="16"/>
        <v>23</v>
      </c>
      <c r="D81" s="58">
        <f t="shared" si="17"/>
        <v>4</v>
      </c>
      <c r="E81" s="76">
        <f t="shared" si="18"/>
        <v>5</v>
      </c>
    </row>
    <row r="82" spans="2:5" x14ac:dyDescent="0.3">
      <c r="B82" s="67">
        <v>5.6643518518518517E-2</v>
      </c>
      <c r="C82" s="75">
        <f t="shared" si="16"/>
        <v>1</v>
      </c>
      <c r="D82" s="58">
        <f t="shared" si="17"/>
        <v>21</v>
      </c>
      <c r="E82" s="76">
        <f t="shared" si="18"/>
        <v>34</v>
      </c>
    </row>
    <row r="83" spans="2:5" x14ac:dyDescent="0.3">
      <c r="B83" s="67">
        <v>0.58608796296296295</v>
      </c>
      <c r="C83" s="75">
        <f t="shared" si="16"/>
        <v>14</v>
      </c>
      <c r="D83" s="58">
        <f t="shared" si="17"/>
        <v>3</v>
      </c>
      <c r="E83" s="76">
        <f t="shared" si="18"/>
        <v>58</v>
      </c>
    </row>
    <row r="84" spans="2:5" x14ac:dyDescent="0.3">
      <c r="B84" s="67">
        <v>0.25799768518518518</v>
      </c>
      <c r="C84" s="75">
        <f t="shared" si="16"/>
        <v>6</v>
      </c>
      <c r="D84" s="58">
        <f t="shared" si="17"/>
        <v>11</v>
      </c>
      <c r="E84" s="76">
        <f t="shared" si="18"/>
        <v>31</v>
      </c>
    </row>
    <row r="85" spans="2:5" x14ac:dyDescent="0.3">
      <c r="B85" s="67">
        <v>0.71309027777777778</v>
      </c>
      <c r="C85" s="75">
        <f t="shared" si="16"/>
        <v>17</v>
      </c>
      <c r="D85" s="58">
        <f t="shared" si="17"/>
        <v>6</v>
      </c>
      <c r="E85" s="76">
        <f t="shared" si="18"/>
        <v>51</v>
      </c>
    </row>
    <row r="86" spans="2:5" x14ac:dyDescent="0.3">
      <c r="B86" s="67">
        <v>0.55476851851851849</v>
      </c>
      <c r="C86" s="75">
        <f t="shared" si="16"/>
        <v>13</v>
      </c>
      <c r="D86" s="58">
        <f t="shared" si="17"/>
        <v>18</v>
      </c>
      <c r="E86" s="76">
        <f t="shared" si="18"/>
        <v>52</v>
      </c>
    </row>
    <row r="87" spans="2:5" ht="15" thickBot="1" x14ac:dyDescent="0.35">
      <c r="B87" s="68">
        <v>0.25489583333333332</v>
      </c>
      <c r="C87" s="75">
        <f t="shared" si="16"/>
        <v>6</v>
      </c>
      <c r="D87" s="58">
        <f t="shared" si="17"/>
        <v>7</v>
      </c>
      <c r="E87" s="76">
        <f t="shared" si="18"/>
        <v>3</v>
      </c>
    </row>
  </sheetData>
  <mergeCells count="2">
    <mergeCell ref="B1:D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D07C-EF6C-449D-9D33-4C7119258EED}">
  <dimension ref="B1:S34"/>
  <sheetViews>
    <sheetView topLeftCell="A28" workbookViewId="0">
      <selection activeCell="L19" sqref="L19"/>
    </sheetView>
  </sheetViews>
  <sheetFormatPr defaultRowHeight="14.4" x14ac:dyDescent="0.3"/>
  <cols>
    <col min="3" max="3" width="14.77734375" bestFit="1" customWidth="1"/>
    <col min="5" max="5" width="12.6640625" bestFit="1" customWidth="1"/>
  </cols>
  <sheetData>
    <row r="1" spans="2:18" x14ac:dyDescent="0.3">
      <c r="B1" s="111" t="s">
        <v>188</v>
      </c>
    </row>
    <row r="2" spans="2:18" ht="15" thickBot="1" x14ac:dyDescent="0.35"/>
    <row r="3" spans="2:18" ht="15.6" x14ac:dyDescent="0.3">
      <c r="B3" s="19" t="s">
        <v>24</v>
      </c>
      <c r="C3" s="20" t="s">
        <v>25</v>
      </c>
      <c r="D3" s="20" t="s">
        <v>26</v>
      </c>
      <c r="E3" s="20" t="s">
        <v>3</v>
      </c>
      <c r="F3" s="20" t="s">
        <v>4</v>
      </c>
      <c r="G3" s="20" t="s">
        <v>5</v>
      </c>
      <c r="H3" s="20" t="s">
        <v>27</v>
      </c>
      <c r="I3" s="98" t="s">
        <v>43</v>
      </c>
      <c r="J3" s="99" t="s">
        <v>171</v>
      </c>
    </row>
    <row r="4" spans="2:18" x14ac:dyDescent="0.3">
      <c r="B4" s="21">
        <v>1</v>
      </c>
      <c r="C4" s="5" t="s">
        <v>10</v>
      </c>
      <c r="D4" s="5">
        <v>47</v>
      </c>
      <c r="E4" s="5">
        <v>20</v>
      </c>
      <c r="F4" s="5">
        <v>20</v>
      </c>
      <c r="G4" s="5">
        <v>40</v>
      </c>
      <c r="H4" s="22">
        <f>SUM(D4:G4)</f>
        <v>127</v>
      </c>
      <c r="I4" s="100">
        <f>H4/400</f>
        <v>0.3175</v>
      </c>
      <c r="J4" s="101" t="str">
        <f>IF(I4&gt;45%,"pass","fail")</f>
        <v>fail</v>
      </c>
    </row>
    <row r="5" spans="2:18" x14ac:dyDescent="0.3">
      <c r="B5" s="21">
        <v>2</v>
      </c>
      <c r="C5" s="5" t="s">
        <v>28</v>
      </c>
      <c r="D5" s="5">
        <v>20</v>
      </c>
      <c r="E5" s="5">
        <v>2</v>
      </c>
      <c r="F5" s="5">
        <v>73</v>
      </c>
      <c r="G5" s="5">
        <v>47</v>
      </c>
      <c r="H5" s="22">
        <f t="shared" ref="H5:H18" si="0">SUM(D5:G5)</f>
        <v>142</v>
      </c>
      <c r="I5" s="100">
        <f t="shared" ref="I5:I18" si="1">H5/400</f>
        <v>0.35499999999999998</v>
      </c>
      <c r="J5" s="101" t="str">
        <f t="shared" ref="J5:J18" si="2">IF(I5&gt;45%,"pass","fail")</f>
        <v>fail</v>
      </c>
    </row>
    <row r="6" spans="2:18" x14ac:dyDescent="0.3">
      <c r="B6" s="21">
        <v>3</v>
      </c>
      <c r="C6" s="5" t="s">
        <v>29</v>
      </c>
      <c r="D6" s="5">
        <v>22</v>
      </c>
      <c r="E6" s="5">
        <v>77</v>
      </c>
      <c r="F6" s="5">
        <v>29</v>
      </c>
      <c r="G6" s="5">
        <v>93</v>
      </c>
      <c r="H6" s="22">
        <f t="shared" si="0"/>
        <v>221</v>
      </c>
      <c r="I6" s="100">
        <f t="shared" si="1"/>
        <v>0.55249999999999999</v>
      </c>
      <c r="J6" s="101" t="str">
        <f t="shared" si="2"/>
        <v>pass</v>
      </c>
    </row>
    <row r="7" spans="2:18" x14ac:dyDescent="0.3">
      <c r="B7" s="21">
        <v>4</v>
      </c>
      <c r="C7" s="5" t="s">
        <v>30</v>
      </c>
      <c r="D7" s="5">
        <v>58</v>
      </c>
      <c r="E7" s="5">
        <v>80</v>
      </c>
      <c r="F7" s="5">
        <v>28</v>
      </c>
      <c r="G7" s="5">
        <v>92</v>
      </c>
      <c r="H7" s="22">
        <f t="shared" si="0"/>
        <v>258</v>
      </c>
      <c r="I7" s="100">
        <f t="shared" si="1"/>
        <v>0.64500000000000002</v>
      </c>
      <c r="J7" s="101" t="str">
        <f t="shared" si="2"/>
        <v>pass</v>
      </c>
    </row>
    <row r="8" spans="2:18" x14ac:dyDescent="0.3">
      <c r="B8" s="21">
        <v>5</v>
      </c>
      <c r="C8" s="5" t="s">
        <v>31</v>
      </c>
      <c r="D8" s="5">
        <v>63</v>
      </c>
      <c r="E8" s="5">
        <v>85</v>
      </c>
      <c r="F8" s="5">
        <v>78</v>
      </c>
      <c r="G8" s="5">
        <v>85</v>
      </c>
      <c r="H8" s="22">
        <f t="shared" si="0"/>
        <v>311</v>
      </c>
      <c r="I8" s="100">
        <f t="shared" si="1"/>
        <v>0.77749999999999997</v>
      </c>
      <c r="J8" s="101" t="str">
        <f t="shared" si="2"/>
        <v>pass</v>
      </c>
    </row>
    <row r="9" spans="2:18" x14ac:dyDescent="0.3">
      <c r="B9" s="21">
        <v>6</v>
      </c>
      <c r="C9" s="5" t="s">
        <v>32</v>
      </c>
      <c r="D9" s="5">
        <v>43</v>
      </c>
      <c r="E9" s="5">
        <v>20</v>
      </c>
      <c r="F9" s="5">
        <v>66</v>
      </c>
      <c r="G9" s="5">
        <v>20</v>
      </c>
      <c r="H9" s="22">
        <f t="shared" si="0"/>
        <v>149</v>
      </c>
      <c r="I9" s="100">
        <f t="shared" si="1"/>
        <v>0.3725</v>
      </c>
      <c r="J9" s="101" t="str">
        <f t="shared" si="2"/>
        <v>fail</v>
      </c>
    </row>
    <row r="10" spans="2:18" x14ac:dyDescent="0.3">
      <c r="B10" s="21">
        <v>7</v>
      </c>
      <c r="C10" s="5" t="s">
        <v>33</v>
      </c>
      <c r="D10" s="5">
        <v>21</v>
      </c>
      <c r="E10" s="5">
        <v>27</v>
      </c>
      <c r="F10" s="5">
        <v>40</v>
      </c>
      <c r="G10" s="5">
        <v>20</v>
      </c>
      <c r="H10" s="22">
        <f t="shared" si="0"/>
        <v>108</v>
      </c>
      <c r="I10" s="100">
        <f t="shared" si="1"/>
        <v>0.27</v>
      </c>
      <c r="J10" s="101" t="str">
        <f t="shared" si="2"/>
        <v>fail</v>
      </c>
      <c r="O10" s="111" t="s">
        <v>186</v>
      </c>
    </row>
    <row r="11" spans="2:18" ht="15" thickBot="1" x14ac:dyDescent="0.35">
      <c r="B11" s="21">
        <v>8</v>
      </c>
      <c r="C11" s="5" t="s">
        <v>34</v>
      </c>
      <c r="D11" s="5">
        <v>21</v>
      </c>
      <c r="E11" s="5">
        <v>35</v>
      </c>
      <c r="F11" s="5">
        <v>36</v>
      </c>
      <c r="G11" s="5">
        <v>41</v>
      </c>
      <c r="H11" s="22">
        <f t="shared" si="0"/>
        <v>133</v>
      </c>
      <c r="I11" s="100">
        <f t="shared" si="1"/>
        <v>0.33250000000000002</v>
      </c>
      <c r="J11" s="101" t="str">
        <f t="shared" si="2"/>
        <v>fail</v>
      </c>
    </row>
    <row r="12" spans="2:18" ht="43.2" x14ac:dyDescent="0.3">
      <c r="B12" s="21">
        <v>9</v>
      </c>
      <c r="C12" s="5" t="s">
        <v>35</v>
      </c>
      <c r="D12" s="5">
        <v>61</v>
      </c>
      <c r="E12" s="5">
        <v>19</v>
      </c>
      <c r="F12" s="5">
        <v>25</v>
      </c>
      <c r="G12" s="5">
        <v>73</v>
      </c>
      <c r="H12" s="22">
        <f t="shared" si="0"/>
        <v>178</v>
      </c>
      <c r="I12" s="100">
        <f t="shared" si="1"/>
        <v>0.44500000000000001</v>
      </c>
      <c r="J12" s="101" t="str">
        <f t="shared" si="2"/>
        <v>fail</v>
      </c>
      <c r="O12" s="103" t="s">
        <v>182</v>
      </c>
      <c r="P12" s="104" t="s">
        <v>183</v>
      </c>
      <c r="Q12" s="104" t="s">
        <v>184</v>
      </c>
      <c r="R12" s="105" t="s">
        <v>185</v>
      </c>
    </row>
    <row r="13" spans="2:18" x14ac:dyDescent="0.3">
      <c r="B13" s="21">
        <v>10</v>
      </c>
      <c r="C13" s="5" t="s">
        <v>36</v>
      </c>
      <c r="D13" s="5">
        <v>69</v>
      </c>
      <c r="E13" s="5">
        <v>42</v>
      </c>
      <c r="F13" s="5">
        <v>59</v>
      </c>
      <c r="G13" s="5">
        <v>41</v>
      </c>
      <c r="H13" s="22">
        <f t="shared" si="0"/>
        <v>211</v>
      </c>
      <c r="I13" s="100">
        <f t="shared" si="1"/>
        <v>0.52749999999999997</v>
      </c>
      <c r="J13" s="101" t="str">
        <f t="shared" si="2"/>
        <v>pass</v>
      </c>
      <c r="O13" s="106" t="s">
        <v>174</v>
      </c>
      <c r="P13" s="107">
        <v>6</v>
      </c>
      <c r="Q13" s="107">
        <v>5</v>
      </c>
      <c r="R13" s="108" t="b">
        <f>AND(P13&gt;=5,Q13&gt;=5)</f>
        <v>1</v>
      </c>
    </row>
    <row r="14" spans="2:18" x14ac:dyDescent="0.3">
      <c r="B14" s="21">
        <v>11</v>
      </c>
      <c r="C14" s="5" t="s">
        <v>37</v>
      </c>
      <c r="D14" s="5">
        <v>27</v>
      </c>
      <c r="E14" s="5">
        <v>75</v>
      </c>
      <c r="F14" s="5">
        <v>68</v>
      </c>
      <c r="G14" s="5">
        <v>79</v>
      </c>
      <c r="H14" s="22">
        <f t="shared" si="0"/>
        <v>249</v>
      </c>
      <c r="I14" s="100">
        <f t="shared" si="1"/>
        <v>0.62250000000000005</v>
      </c>
      <c r="J14" s="101" t="str">
        <f t="shared" si="2"/>
        <v>pass</v>
      </c>
      <c r="O14" s="106" t="s">
        <v>175</v>
      </c>
      <c r="P14" s="107">
        <v>6</v>
      </c>
      <c r="Q14" s="107">
        <v>4.0999999999999996</v>
      </c>
      <c r="R14" s="108" t="b">
        <f t="shared" ref="R14:R17" si="3">AND(P14&gt;=5,Q14&gt;=5)</f>
        <v>0</v>
      </c>
    </row>
    <row r="15" spans="2:18" x14ac:dyDescent="0.3">
      <c r="B15" s="21">
        <v>12</v>
      </c>
      <c r="C15" s="5" t="s">
        <v>38</v>
      </c>
      <c r="D15" s="5">
        <v>76</v>
      </c>
      <c r="E15" s="5">
        <v>54</v>
      </c>
      <c r="F15" s="5">
        <v>41</v>
      </c>
      <c r="G15" s="5">
        <v>45</v>
      </c>
      <c r="H15" s="22">
        <f t="shared" si="0"/>
        <v>216</v>
      </c>
      <c r="I15" s="100">
        <f t="shared" si="1"/>
        <v>0.54</v>
      </c>
      <c r="J15" s="101" t="str">
        <f t="shared" si="2"/>
        <v>pass</v>
      </c>
      <c r="O15" s="106" t="s">
        <v>176</v>
      </c>
      <c r="P15" s="107">
        <v>3</v>
      </c>
      <c r="Q15" s="107">
        <v>5</v>
      </c>
      <c r="R15" s="108" t="b">
        <f t="shared" si="3"/>
        <v>0</v>
      </c>
    </row>
    <row r="16" spans="2:18" x14ac:dyDescent="0.3">
      <c r="B16" s="21">
        <v>13</v>
      </c>
      <c r="C16" s="5" t="s">
        <v>39</v>
      </c>
      <c r="D16" s="5">
        <v>29</v>
      </c>
      <c r="E16" s="5">
        <v>15</v>
      </c>
      <c r="F16" s="5">
        <v>81</v>
      </c>
      <c r="G16" s="5">
        <v>56</v>
      </c>
      <c r="H16" s="22">
        <f t="shared" si="0"/>
        <v>181</v>
      </c>
      <c r="I16" s="100">
        <f t="shared" si="1"/>
        <v>0.45250000000000001</v>
      </c>
      <c r="J16" s="101" t="str">
        <f t="shared" si="2"/>
        <v>pass</v>
      </c>
      <c r="O16" s="106" t="s">
        <v>177</v>
      </c>
      <c r="P16" s="107">
        <v>7</v>
      </c>
      <c r="Q16" s="107">
        <v>4.2</v>
      </c>
      <c r="R16" s="108" t="b">
        <f t="shared" si="3"/>
        <v>0</v>
      </c>
    </row>
    <row r="17" spans="2:19" ht="15" thickBot="1" x14ac:dyDescent="0.35">
      <c r="B17" s="21">
        <v>14</v>
      </c>
      <c r="C17" s="5" t="s">
        <v>40</v>
      </c>
      <c r="D17" s="5">
        <v>62</v>
      </c>
      <c r="E17" s="5">
        <v>21</v>
      </c>
      <c r="F17" s="5">
        <v>67</v>
      </c>
      <c r="G17" s="5">
        <v>88</v>
      </c>
      <c r="H17" s="22">
        <f t="shared" si="0"/>
        <v>238</v>
      </c>
      <c r="I17" s="100">
        <f t="shared" si="1"/>
        <v>0.59499999999999997</v>
      </c>
      <c r="J17" s="101" t="str">
        <f t="shared" si="2"/>
        <v>pass</v>
      </c>
      <c r="O17" s="109" t="s">
        <v>178</v>
      </c>
      <c r="P17" s="110">
        <v>2</v>
      </c>
      <c r="Q17" s="110">
        <v>4</v>
      </c>
      <c r="R17" s="108" t="b">
        <f t="shared" si="3"/>
        <v>0</v>
      </c>
    </row>
    <row r="18" spans="2:19" ht="15" thickBot="1" x14ac:dyDescent="0.35">
      <c r="B18" s="23">
        <v>15</v>
      </c>
      <c r="C18" s="6" t="s">
        <v>41</v>
      </c>
      <c r="D18" s="6">
        <v>15</v>
      </c>
      <c r="E18" s="6">
        <v>95</v>
      </c>
      <c r="F18" s="6">
        <v>29</v>
      </c>
      <c r="G18" s="6">
        <v>64</v>
      </c>
      <c r="H18" s="22">
        <f t="shared" si="0"/>
        <v>203</v>
      </c>
      <c r="I18" s="100">
        <f t="shared" si="1"/>
        <v>0.50749999999999995</v>
      </c>
      <c r="J18" s="101" t="str">
        <f t="shared" si="2"/>
        <v>pass</v>
      </c>
    </row>
    <row r="24" spans="2:19" x14ac:dyDescent="0.3">
      <c r="C24" s="111" t="s">
        <v>188</v>
      </c>
    </row>
    <row r="26" spans="2:19" x14ac:dyDescent="0.3">
      <c r="C26" s="102" t="s">
        <v>172</v>
      </c>
      <c r="D26" s="102" t="s">
        <v>173</v>
      </c>
      <c r="E26" s="102" t="s">
        <v>171</v>
      </c>
      <c r="P26" s="111" t="s">
        <v>187</v>
      </c>
    </row>
    <row r="27" spans="2:19" ht="15" thickBot="1" x14ac:dyDescent="0.35">
      <c r="C27" s="102" t="s">
        <v>174</v>
      </c>
      <c r="D27" s="102"/>
      <c r="E27" s="102" t="str">
        <f>IF(D27="","pending","payment done")</f>
        <v>pending</v>
      </c>
    </row>
    <row r="28" spans="2:19" ht="43.2" x14ac:dyDescent="0.3">
      <c r="C28" s="102" t="s">
        <v>175</v>
      </c>
      <c r="D28" s="102"/>
      <c r="E28" s="102" t="str">
        <f t="shared" ref="E28:E34" si="4">IF(D28="","pending","payment done")</f>
        <v>pending</v>
      </c>
      <c r="P28" s="103" t="s">
        <v>182</v>
      </c>
      <c r="Q28" s="104" t="s">
        <v>183</v>
      </c>
      <c r="R28" s="104" t="s">
        <v>184</v>
      </c>
      <c r="S28" s="105" t="s">
        <v>185</v>
      </c>
    </row>
    <row r="29" spans="2:19" x14ac:dyDescent="0.3">
      <c r="C29" s="102" t="s">
        <v>176</v>
      </c>
      <c r="D29" s="102">
        <v>56326</v>
      </c>
      <c r="E29" s="102" t="str">
        <f t="shared" si="4"/>
        <v>payment done</v>
      </c>
      <c r="P29" s="106" t="s">
        <v>174</v>
      </c>
      <c r="Q29" s="107">
        <v>6</v>
      </c>
      <c r="R29" s="107">
        <v>5</v>
      </c>
      <c r="S29" s="108" t="b">
        <f>OR(Q29&gt;=5,R29&gt;=4)</f>
        <v>1</v>
      </c>
    </row>
    <row r="30" spans="2:19" x14ac:dyDescent="0.3">
      <c r="C30" s="102" t="s">
        <v>177</v>
      </c>
      <c r="D30" s="102">
        <v>20000</v>
      </c>
      <c r="E30" s="102" t="str">
        <f t="shared" si="4"/>
        <v>payment done</v>
      </c>
      <c r="P30" s="106" t="s">
        <v>175</v>
      </c>
      <c r="Q30" s="107">
        <v>5</v>
      </c>
      <c r="R30" s="107">
        <v>3</v>
      </c>
      <c r="S30" s="108" t="b">
        <f t="shared" ref="S30:S33" si="5">OR(Q30&gt;=5,R30&gt;=4)</f>
        <v>1</v>
      </c>
    </row>
    <row r="31" spans="2:19" x14ac:dyDescent="0.3">
      <c r="C31" s="102" t="s">
        <v>178</v>
      </c>
      <c r="D31" s="102"/>
      <c r="E31" s="102" t="str">
        <f t="shared" si="4"/>
        <v>pending</v>
      </c>
      <c r="P31" s="106" t="s">
        <v>176</v>
      </c>
      <c r="Q31" s="107">
        <v>3</v>
      </c>
      <c r="R31" s="107">
        <v>4.5</v>
      </c>
      <c r="S31" s="108" t="b">
        <f t="shared" si="5"/>
        <v>1</v>
      </c>
    </row>
    <row r="32" spans="2:19" x14ac:dyDescent="0.3">
      <c r="C32" s="102" t="s">
        <v>179</v>
      </c>
      <c r="D32" s="102">
        <v>63000</v>
      </c>
      <c r="E32" s="102" t="str">
        <f t="shared" si="4"/>
        <v>payment done</v>
      </c>
      <c r="P32" s="106" t="s">
        <v>177</v>
      </c>
      <c r="Q32" s="107">
        <v>7</v>
      </c>
      <c r="R32" s="107">
        <v>4.2</v>
      </c>
      <c r="S32" s="108" t="b">
        <f t="shared" si="5"/>
        <v>1</v>
      </c>
    </row>
    <row r="33" spans="3:19" ht="15" thickBot="1" x14ac:dyDescent="0.35">
      <c r="C33" s="102" t="s">
        <v>180</v>
      </c>
      <c r="D33" s="102"/>
      <c r="E33" s="102" t="str">
        <f t="shared" si="4"/>
        <v>pending</v>
      </c>
      <c r="P33" s="109" t="s">
        <v>178</v>
      </c>
      <c r="Q33" s="110">
        <v>5.0999999999999996</v>
      </c>
      <c r="R33" s="110">
        <v>3.5</v>
      </c>
      <c r="S33" s="108" t="b">
        <f t="shared" si="5"/>
        <v>1</v>
      </c>
    </row>
    <row r="34" spans="3:19" x14ac:dyDescent="0.3">
      <c r="C34" s="102" t="s">
        <v>181</v>
      </c>
      <c r="D34" s="102">
        <v>52000</v>
      </c>
      <c r="E34" s="102" t="str">
        <f t="shared" si="4"/>
        <v>payment done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F52B-AD7A-474B-81CF-AE52B9668821}">
  <dimension ref="B2:L32"/>
  <sheetViews>
    <sheetView workbookViewId="0">
      <selection activeCell="M18" sqref="M18"/>
    </sheetView>
  </sheetViews>
  <sheetFormatPr defaultRowHeight="14.4" x14ac:dyDescent="0.3"/>
  <cols>
    <col min="2" max="2" width="14.77734375" bestFit="1" customWidth="1"/>
  </cols>
  <sheetData>
    <row r="2" spans="2:12" ht="15" thickBot="1" x14ac:dyDescent="0.35"/>
    <row r="3" spans="2:12" ht="15.6" x14ac:dyDescent="0.3">
      <c r="B3" s="20" t="s">
        <v>25</v>
      </c>
      <c r="C3" s="20" t="s">
        <v>26</v>
      </c>
      <c r="D3" s="20" t="s">
        <v>3</v>
      </c>
      <c r="E3" s="20" t="s">
        <v>4</v>
      </c>
      <c r="F3" s="20" t="s">
        <v>5</v>
      </c>
      <c r="G3" s="20" t="s">
        <v>27</v>
      </c>
      <c r="H3" s="98" t="s">
        <v>43</v>
      </c>
      <c r="I3" s="99" t="s">
        <v>171</v>
      </c>
      <c r="J3" s="99" t="s">
        <v>189</v>
      </c>
    </row>
    <row r="4" spans="2:12" x14ac:dyDescent="0.3">
      <c r="B4" s="5" t="s">
        <v>10</v>
      </c>
      <c r="C4" s="5">
        <v>47</v>
      </c>
      <c r="D4" s="5">
        <v>40</v>
      </c>
      <c r="E4" s="5">
        <v>75</v>
      </c>
      <c r="F4" s="5">
        <v>40</v>
      </c>
      <c r="G4" s="22">
        <f>SUM(C4:F4)</f>
        <v>202</v>
      </c>
      <c r="H4" s="100">
        <f t="shared" ref="H4:H18" si="0">G4/400</f>
        <v>0.505</v>
      </c>
      <c r="I4" s="101" t="str">
        <f>IF(H4&gt;45%,"Pass","Fail")</f>
        <v>Pass</v>
      </c>
      <c r="J4" s="112">
        <f>RANK(H4,H4:H18,0)</f>
        <v>8</v>
      </c>
    </row>
    <row r="5" spans="2:12" x14ac:dyDescent="0.3">
      <c r="B5" s="5" t="s">
        <v>28</v>
      </c>
      <c r="C5" s="5">
        <v>20</v>
      </c>
      <c r="D5" s="5">
        <v>2</v>
      </c>
      <c r="E5" s="5">
        <v>73</v>
      </c>
      <c r="F5" s="5">
        <v>47</v>
      </c>
      <c r="G5" s="22">
        <f t="shared" ref="G5:G18" si="1">SUM(C5:F5)</f>
        <v>142</v>
      </c>
      <c r="H5" s="100">
        <f t="shared" si="0"/>
        <v>0.35499999999999998</v>
      </c>
      <c r="I5" s="101" t="str">
        <f t="shared" ref="I5:I18" si="2">IF(H5&gt;45%,"Pass","Fail")</f>
        <v>Fail</v>
      </c>
      <c r="J5" s="112">
        <f>RANK(H5,H5:H19,0)</f>
        <v>11</v>
      </c>
    </row>
    <row r="6" spans="2:12" x14ac:dyDescent="0.3">
      <c r="B6" s="5" t="s">
        <v>29</v>
      </c>
      <c r="C6" s="5">
        <v>22</v>
      </c>
      <c r="D6" s="5">
        <v>77</v>
      </c>
      <c r="E6" s="5">
        <v>29</v>
      </c>
      <c r="F6" s="5">
        <v>93</v>
      </c>
      <c r="G6" s="22">
        <f t="shared" si="1"/>
        <v>221</v>
      </c>
      <c r="H6" s="100">
        <f t="shared" si="0"/>
        <v>0.55249999999999999</v>
      </c>
      <c r="I6" s="101" t="str">
        <f t="shared" si="2"/>
        <v>Pass</v>
      </c>
      <c r="J6" s="112">
        <f>RANK(H6,H6:H20,0)</f>
        <v>5</v>
      </c>
    </row>
    <row r="7" spans="2:12" x14ac:dyDescent="0.3">
      <c r="B7" s="5" t="s">
        <v>30</v>
      </c>
      <c r="C7" s="5">
        <v>58</v>
      </c>
      <c r="D7" s="5">
        <v>80</v>
      </c>
      <c r="E7" s="5">
        <v>28</v>
      </c>
      <c r="F7" s="5">
        <v>92</v>
      </c>
      <c r="G7" s="22">
        <f t="shared" si="1"/>
        <v>258</v>
      </c>
      <c r="H7" s="100">
        <f t="shared" si="0"/>
        <v>0.64500000000000002</v>
      </c>
      <c r="I7" s="101" t="str">
        <f t="shared" si="2"/>
        <v>Pass</v>
      </c>
      <c r="J7" s="112">
        <f>RANK(H7,H7:H21,0)</f>
        <v>2</v>
      </c>
    </row>
    <row r="8" spans="2:12" x14ac:dyDescent="0.3">
      <c r="B8" s="5" t="s">
        <v>31</v>
      </c>
      <c r="C8" s="5">
        <v>63</v>
      </c>
      <c r="D8" s="5">
        <v>85</v>
      </c>
      <c r="E8" s="5">
        <v>78</v>
      </c>
      <c r="F8" s="5">
        <v>85</v>
      </c>
      <c r="G8" s="22">
        <f t="shared" si="1"/>
        <v>311</v>
      </c>
      <c r="H8" s="100">
        <f t="shared" si="0"/>
        <v>0.77749999999999997</v>
      </c>
      <c r="I8" s="101" t="str">
        <f t="shared" si="2"/>
        <v>Pass</v>
      </c>
      <c r="J8" s="112">
        <f>RANK(H8,H8:H22,0)</f>
        <v>1</v>
      </c>
    </row>
    <row r="9" spans="2:12" x14ac:dyDescent="0.3">
      <c r="B9" s="5" t="s">
        <v>32</v>
      </c>
      <c r="C9" s="5">
        <v>43</v>
      </c>
      <c r="D9" s="5">
        <v>20</v>
      </c>
      <c r="E9" s="5">
        <v>66</v>
      </c>
      <c r="F9" s="5">
        <v>20</v>
      </c>
      <c r="G9" s="22">
        <f t="shared" si="1"/>
        <v>149</v>
      </c>
      <c r="H9" s="100">
        <f t="shared" si="0"/>
        <v>0.3725</v>
      </c>
      <c r="I9" s="101" t="str">
        <f t="shared" si="2"/>
        <v>Fail</v>
      </c>
      <c r="J9" s="112">
        <f>RANK(H9,H9:H23,0)</f>
        <v>7</v>
      </c>
      <c r="K9" t="b">
        <f>ISNUMBER(J9)</f>
        <v>1</v>
      </c>
    </row>
    <row r="10" spans="2:12" x14ac:dyDescent="0.3">
      <c r="B10" s="5" t="s">
        <v>33</v>
      </c>
      <c r="C10" s="5">
        <v>21</v>
      </c>
      <c r="D10" s="5">
        <v>27</v>
      </c>
      <c r="E10" s="5">
        <v>40</v>
      </c>
      <c r="F10" s="5">
        <v>20</v>
      </c>
      <c r="G10" s="22">
        <f t="shared" si="1"/>
        <v>108</v>
      </c>
      <c r="H10" s="100">
        <f t="shared" si="0"/>
        <v>0.27</v>
      </c>
      <c r="I10" s="101" t="str">
        <f t="shared" si="2"/>
        <v>Fail</v>
      </c>
      <c r="J10" s="112">
        <f>RANK(H10,H10:H24,0)</f>
        <v>8</v>
      </c>
      <c r="K10" t="b">
        <f>ISNUMBER(J10)</f>
        <v>1</v>
      </c>
    </row>
    <row r="11" spans="2:12" x14ac:dyDescent="0.3">
      <c r="B11" s="5" t="s">
        <v>34</v>
      </c>
      <c r="C11" s="5">
        <v>21</v>
      </c>
      <c r="D11" s="5">
        <v>35</v>
      </c>
      <c r="E11" s="5">
        <v>36</v>
      </c>
      <c r="F11" s="5">
        <v>41</v>
      </c>
      <c r="G11" s="22">
        <f t="shared" si="1"/>
        <v>133</v>
      </c>
      <c r="H11" s="100">
        <f t="shared" si="0"/>
        <v>0.33250000000000002</v>
      </c>
      <c r="I11" s="101" t="str">
        <f t="shared" si="2"/>
        <v>Fail</v>
      </c>
      <c r="J11" s="112">
        <f>RANK(H11,H11:H25,0)</f>
        <v>7</v>
      </c>
      <c r="K11" t="b">
        <f>ISNUMBER(J11)</f>
        <v>1</v>
      </c>
    </row>
    <row r="12" spans="2:12" x14ac:dyDescent="0.3">
      <c r="B12" s="5" t="s">
        <v>35</v>
      </c>
      <c r="C12" s="5">
        <v>61</v>
      </c>
      <c r="D12" s="5">
        <v>19</v>
      </c>
      <c r="E12" s="5">
        <v>25</v>
      </c>
      <c r="F12" s="5">
        <v>73</v>
      </c>
      <c r="G12" s="22">
        <f t="shared" si="1"/>
        <v>178</v>
      </c>
      <c r="H12" s="100">
        <f t="shared" si="0"/>
        <v>0.44500000000000001</v>
      </c>
      <c r="I12" s="101" t="str">
        <f t="shared" si="2"/>
        <v>Fail</v>
      </c>
      <c r="J12" s="112">
        <f>RANK(H12,H12:H26,0)</f>
        <v>6</v>
      </c>
      <c r="K12" t="b">
        <f>ISNUMBER(J12)</f>
        <v>1</v>
      </c>
    </row>
    <row r="13" spans="2:12" x14ac:dyDescent="0.3">
      <c r="B13" s="5" t="s">
        <v>36</v>
      </c>
      <c r="C13" s="5">
        <v>69</v>
      </c>
      <c r="D13" s="5">
        <v>42</v>
      </c>
      <c r="E13" s="5">
        <v>59</v>
      </c>
      <c r="F13" s="5">
        <v>41</v>
      </c>
      <c r="G13" s="22">
        <f t="shared" si="1"/>
        <v>211</v>
      </c>
      <c r="H13" s="100" t="s">
        <v>190</v>
      </c>
      <c r="I13" s="101" t="str">
        <f t="shared" si="2"/>
        <v>Pass</v>
      </c>
      <c r="J13" s="112" t="e">
        <f>RANK(H13,H13:H27,0)</f>
        <v>#VALUE!</v>
      </c>
      <c r="K13" t="b">
        <f>ISNUMBER(J13)</f>
        <v>0</v>
      </c>
    </row>
    <row r="14" spans="2:12" x14ac:dyDescent="0.3">
      <c r="B14" s="5" t="s">
        <v>37</v>
      </c>
      <c r="C14" s="5">
        <v>27</v>
      </c>
      <c r="D14" s="5">
        <v>75</v>
      </c>
      <c r="E14" s="5">
        <v>68</v>
      </c>
      <c r="F14" s="5">
        <v>79</v>
      </c>
      <c r="G14" s="22">
        <f t="shared" si="1"/>
        <v>249</v>
      </c>
      <c r="H14" s="100">
        <f t="shared" si="0"/>
        <v>0.62250000000000005</v>
      </c>
      <c r="I14" s="101" t="str">
        <f t="shared" si="2"/>
        <v>Pass</v>
      </c>
      <c r="J14" s="112">
        <f>RANK(H14,H14:H28,0)</f>
        <v>1</v>
      </c>
      <c r="K14" t="b">
        <f>ISNUMBER(J14)</f>
        <v>1</v>
      </c>
    </row>
    <row r="15" spans="2:12" x14ac:dyDescent="0.3">
      <c r="B15" s="5" t="s">
        <v>38</v>
      </c>
      <c r="C15" s="5">
        <v>76</v>
      </c>
      <c r="D15" s="5">
        <v>54</v>
      </c>
      <c r="E15" s="5">
        <v>41</v>
      </c>
      <c r="F15" s="5">
        <v>45</v>
      </c>
      <c r="G15" s="22">
        <f t="shared" si="1"/>
        <v>216</v>
      </c>
      <c r="H15" s="100">
        <f t="shared" si="0"/>
        <v>0.54</v>
      </c>
      <c r="I15" s="101" t="str">
        <f t="shared" si="2"/>
        <v>Pass</v>
      </c>
      <c r="J15" s="112">
        <f>RANK(H15,H15:H29,0)</f>
        <v>2</v>
      </c>
      <c r="K15" t="b">
        <f>ISNUMBER(J15)</f>
        <v>1</v>
      </c>
      <c r="L15" t="b">
        <f>ISEVEN(J15)</f>
        <v>1</v>
      </c>
    </row>
    <row r="16" spans="2:12" x14ac:dyDescent="0.3">
      <c r="B16" s="5" t="s">
        <v>39</v>
      </c>
      <c r="C16" s="5">
        <v>29</v>
      </c>
      <c r="D16" s="5">
        <v>15</v>
      </c>
      <c r="E16" s="5">
        <v>81</v>
      </c>
      <c r="F16" s="5">
        <v>56</v>
      </c>
      <c r="G16" s="22">
        <f t="shared" si="1"/>
        <v>181</v>
      </c>
      <c r="H16" s="100">
        <f t="shared" si="0"/>
        <v>0.45250000000000001</v>
      </c>
      <c r="I16" s="101" t="str">
        <f t="shared" si="2"/>
        <v>Pass</v>
      </c>
      <c r="J16" s="112">
        <f>RANK(H16,H16:H30,0)</f>
        <v>3</v>
      </c>
      <c r="K16" t="b">
        <f>ISNUMBER(J16)</f>
        <v>1</v>
      </c>
      <c r="L16" t="b">
        <f>ISEVEN(J16)</f>
        <v>0</v>
      </c>
    </row>
    <row r="17" spans="2:12" x14ac:dyDescent="0.3">
      <c r="B17" s="5" t="s">
        <v>40</v>
      </c>
      <c r="C17" s="5">
        <v>62</v>
      </c>
      <c r="D17" s="5">
        <v>21</v>
      </c>
      <c r="E17" s="5">
        <v>67</v>
      </c>
      <c r="F17" s="5">
        <v>88</v>
      </c>
      <c r="G17" s="22">
        <f t="shared" si="1"/>
        <v>238</v>
      </c>
      <c r="H17" s="100">
        <f t="shared" si="0"/>
        <v>0.59499999999999997</v>
      </c>
      <c r="I17" s="101" t="str">
        <f t="shared" si="2"/>
        <v>Pass</v>
      </c>
      <c r="J17" s="112">
        <f>RANK(H17,H17:H31,0)</f>
        <v>1</v>
      </c>
      <c r="K17" t="b">
        <f>ISNUMBER(J17)</f>
        <v>1</v>
      </c>
      <c r="L17" t="b">
        <f>ISEVEN(J17)</f>
        <v>0</v>
      </c>
    </row>
    <row r="18" spans="2:12" ht="15" thickBot="1" x14ac:dyDescent="0.35">
      <c r="B18" s="6" t="s">
        <v>41</v>
      </c>
      <c r="C18" s="6">
        <v>15</v>
      </c>
      <c r="D18" s="6">
        <v>95</v>
      </c>
      <c r="E18" s="6">
        <v>29</v>
      </c>
      <c r="F18" s="6">
        <v>64</v>
      </c>
      <c r="G18" s="22">
        <f t="shared" si="1"/>
        <v>203</v>
      </c>
      <c r="H18" s="100">
        <f t="shared" si="0"/>
        <v>0.50749999999999995</v>
      </c>
      <c r="I18" s="101" t="str">
        <f t="shared" si="2"/>
        <v>Pass</v>
      </c>
      <c r="J18" s="112">
        <f>RANK(H18,H18:H32,0)</f>
        <v>1</v>
      </c>
      <c r="K18" t="b">
        <f>ISNUMBER(J18)</f>
        <v>1</v>
      </c>
      <c r="L18" t="b">
        <f>ISEVEN(J18)</f>
        <v>0</v>
      </c>
    </row>
    <row r="24" spans="2:12" ht="15" thickBot="1" x14ac:dyDescent="0.35"/>
    <row r="25" spans="2:12" x14ac:dyDescent="0.3">
      <c r="B25" s="113" t="s">
        <v>191</v>
      </c>
      <c r="C25" s="114"/>
      <c r="F25" s="113" t="s">
        <v>192</v>
      </c>
      <c r="G25" s="114"/>
      <c r="J25" s="113" t="s">
        <v>193</v>
      </c>
      <c r="K25" s="114"/>
    </row>
    <row r="26" spans="2:12" x14ac:dyDescent="0.3">
      <c r="B26" s="34">
        <v>1000.3692</v>
      </c>
      <c r="C26" s="115">
        <f>ROUND(B26,2)</f>
        <v>1000.37</v>
      </c>
      <c r="F26" s="34">
        <v>1000.3692</v>
      </c>
      <c r="G26" s="115">
        <f>ROUNDUP(F26,2)</f>
        <v>1000.37</v>
      </c>
      <c r="J26" s="34">
        <v>1000.3692</v>
      </c>
      <c r="K26" s="115">
        <f>ROUNDDOWN(J26,2)</f>
        <v>1000.36</v>
      </c>
    </row>
    <row r="27" spans="2:12" x14ac:dyDescent="0.3">
      <c r="B27" s="34">
        <v>500.63200000000001</v>
      </c>
      <c r="C27" s="115">
        <f t="shared" ref="C27:C32" si="3">ROUND(B27,2)</f>
        <v>500.63</v>
      </c>
      <c r="F27" s="34">
        <v>500.63200000000001</v>
      </c>
      <c r="G27" s="115">
        <f t="shared" ref="G27:G32" si="4">ROUNDUP(F27,2)</f>
        <v>500.64</v>
      </c>
      <c r="J27" s="34">
        <v>500.63200000000001</v>
      </c>
      <c r="K27" s="115">
        <f t="shared" ref="K27:K32" si="5">ROUNDDOWN(J27,2)</f>
        <v>500.63</v>
      </c>
    </row>
    <row r="28" spans="2:12" x14ac:dyDescent="0.3">
      <c r="B28" s="34">
        <v>856.36199999999997</v>
      </c>
      <c r="C28" s="115">
        <f t="shared" si="3"/>
        <v>856.36</v>
      </c>
      <c r="F28" s="34">
        <v>856.36199999999997</v>
      </c>
      <c r="G28" s="115">
        <f t="shared" si="4"/>
        <v>856.37</v>
      </c>
      <c r="J28" s="34">
        <v>856.36199999999997</v>
      </c>
      <c r="K28" s="115">
        <f t="shared" si="5"/>
        <v>856.36</v>
      </c>
    </row>
    <row r="29" spans="2:12" x14ac:dyDescent="0.3">
      <c r="B29" s="34">
        <v>488.625</v>
      </c>
      <c r="C29" s="115">
        <f t="shared" si="3"/>
        <v>488.63</v>
      </c>
      <c r="F29" s="34">
        <v>488.625</v>
      </c>
      <c r="G29" s="115">
        <f t="shared" si="4"/>
        <v>488.63</v>
      </c>
      <c r="J29" s="34">
        <v>488.625</v>
      </c>
      <c r="K29" s="115">
        <f t="shared" si="5"/>
        <v>488.62</v>
      </c>
    </row>
    <row r="30" spans="2:12" x14ac:dyDescent="0.3">
      <c r="B30" s="34">
        <v>968.32500000000005</v>
      </c>
      <c r="C30" s="115">
        <f t="shared" si="3"/>
        <v>968.33</v>
      </c>
      <c r="F30" s="34">
        <v>968.32500000000005</v>
      </c>
      <c r="G30" s="115">
        <f t="shared" si="4"/>
        <v>968.33</v>
      </c>
      <c r="J30" s="34">
        <v>968.32500000000005</v>
      </c>
      <c r="K30" s="115">
        <f t="shared" si="5"/>
        <v>968.32</v>
      </c>
    </row>
    <row r="31" spans="2:12" x14ac:dyDescent="0.3">
      <c r="B31" s="34">
        <v>869.95399999999995</v>
      </c>
      <c r="C31" s="115">
        <f t="shared" si="3"/>
        <v>869.95</v>
      </c>
      <c r="F31" s="34">
        <v>869.95399999999995</v>
      </c>
      <c r="G31" s="115">
        <f t="shared" si="4"/>
        <v>869.96</v>
      </c>
      <c r="J31" s="34">
        <v>869.95399999999995</v>
      </c>
      <c r="K31" s="115">
        <f t="shared" si="5"/>
        <v>869.95</v>
      </c>
    </row>
    <row r="32" spans="2:12" ht="15" thickBot="1" x14ac:dyDescent="0.35">
      <c r="B32" s="35">
        <v>8964.7849999999999</v>
      </c>
      <c r="C32" s="115">
        <f t="shared" si="3"/>
        <v>8964.7900000000009</v>
      </c>
      <c r="F32" s="35">
        <v>8964.7849999999999</v>
      </c>
      <c r="G32" s="115">
        <f t="shared" si="4"/>
        <v>8964.7900000000009</v>
      </c>
      <c r="J32" s="35">
        <v>8964.7849999999999</v>
      </c>
      <c r="K32" s="115">
        <f t="shared" si="5"/>
        <v>8964.7800000000007</v>
      </c>
    </row>
  </sheetData>
  <mergeCells count="3">
    <mergeCell ref="B25:C25"/>
    <mergeCell ref="F25:G25"/>
    <mergeCell ref="J25:K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0965-7099-48B5-91CE-4A118C9E5BD6}">
  <dimension ref="A1"/>
  <sheetViews>
    <sheetView tabSelected="1" workbookViewId="0">
      <selection activeCell="C3" sqref="C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statistrical formulas</vt:lpstr>
      <vt:lpstr>cell Refernence</vt:lpstr>
      <vt:lpstr>Text formula</vt:lpstr>
      <vt:lpstr>Date and the formulas</vt:lpstr>
      <vt:lpstr>logical formula</vt:lpstr>
      <vt:lpstr>Misc</vt:lpstr>
      <vt:lpstr>sumif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Afroj Ali</dc:creator>
  <cp:lastModifiedBy>Afroj Ali</cp:lastModifiedBy>
  <dcterms:created xsi:type="dcterms:W3CDTF">2026-04-24T07:04:39Z</dcterms:created>
  <dcterms:modified xsi:type="dcterms:W3CDTF">2026-04-24T19:22:16Z</dcterms:modified>
</cp:coreProperties>
</file>