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froj\OneDrive\excel\"/>
    </mc:Choice>
  </mc:AlternateContent>
  <xr:revisionPtr revIDLastSave="0" documentId="13_ncr:1_{3A34AE35-DCB9-4244-B816-4E1CE89AA4E8}" xr6:coauthVersionLast="47" xr6:coauthVersionMax="47" xr10:uidLastSave="{00000000-0000-0000-0000-000000000000}"/>
  <bookViews>
    <workbookView xWindow="-108" yWindow="-108" windowWidth="23256" windowHeight="13896" firstSheet="10" activeTab="16" xr2:uid="{AF1FAB97-3623-43BF-8082-8A3DB9FD4947}"/>
  </bookViews>
  <sheets>
    <sheet name="Selection" sheetId="1" r:id="rId1"/>
    <sheet name="Adjustement" sheetId="2" r:id="rId2"/>
    <sheet name="Basic Formating" sheetId="3" r:id="rId3"/>
    <sheet name="Advance Formating" sheetId="4" r:id="rId4"/>
    <sheet name="clipboard" sheetId="6" r:id="rId5"/>
    <sheet name="Wrap and shrink" sheetId="5" r:id="rId6"/>
    <sheet name="main" sheetId="7" r:id="rId7"/>
    <sheet name="Normal Format" sheetId="8" r:id="rId8"/>
    <sheet name="conditional formating" sheetId="9" r:id="rId9"/>
    <sheet name="Table creation" sheetId="10" r:id="rId10"/>
    <sheet name="cell style (2)" sheetId="12" r:id="rId11"/>
    <sheet name="cell style" sheetId="11" r:id="rId12"/>
    <sheet name="series" sheetId="13" r:id="rId13"/>
    <sheet name="Filter" sheetId="14" r:id="rId14"/>
    <sheet name="Go to Special" sheetId="15" r:id="rId15"/>
    <sheet name="Paste special" sheetId="16" r:id="rId16"/>
    <sheet name="Find n replace" sheetId="17" r:id="rId17"/>
  </sheets>
  <definedNames>
    <definedName name="_xlnm._FilterDatabase" localSheetId="13" hidden="1">Filter!$A$1:$M$500</definedName>
    <definedName name="_xlnm._FilterDatabase" localSheetId="14" hidden="1">'Go to Special'!$A$1:$N$499</definedName>
    <definedName name="Slicer_Party_Nam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5" i="16" l="1"/>
  <c r="N45" i="16"/>
  <c r="O45" i="16"/>
  <c r="P45" i="16"/>
  <c r="M46" i="16"/>
  <c r="N46" i="16"/>
  <c r="O46" i="16"/>
  <c r="P46" i="16"/>
  <c r="M47" i="16"/>
  <c r="N47" i="16"/>
  <c r="O47" i="16"/>
  <c r="P47" i="16"/>
  <c r="M48" i="16"/>
  <c r="N48" i="16"/>
  <c r="O48" i="16"/>
  <c r="P48" i="16"/>
  <c r="M49" i="16"/>
  <c r="N49" i="16"/>
  <c r="O49" i="16"/>
  <c r="P49" i="16"/>
  <c r="M50" i="16"/>
  <c r="N50" i="16"/>
  <c r="O50" i="16"/>
  <c r="P50" i="16"/>
  <c r="M51" i="16"/>
  <c r="N51" i="16"/>
  <c r="O51" i="16"/>
  <c r="P51" i="16"/>
  <c r="M52" i="16"/>
  <c r="N52" i="16"/>
  <c r="O52" i="16"/>
  <c r="P52" i="16"/>
  <c r="M53" i="16"/>
  <c r="N53" i="16"/>
  <c r="O53" i="16"/>
  <c r="P53" i="16"/>
  <c r="M54" i="16"/>
  <c r="N54" i="16"/>
  <c r="O54" i="16"/>
  <c r="P54" i="16"/>
  <c r="M55" i="16"/>
  <c r="N55" i="16"/>
  <c r="O55" i="16"/>
  <c r="P55" i="16"/>
  <c r="N11" i="16"/>
  <c r="P11" i="16" s="1"/>
  <c r="N3" i="16"/>
  <c r="P3" i="16" s="1"/>
  <c r="N4" i="16"/>
  <c r="P4" i="16" s="1"/>
  <c r="N5" i="16"/>
  <c r="P5" i="16" s="1"/>
  <c r="N6" i="16"/>
  <c r="P6" i="16" s="1"/>
  <c r="N7" i="16"/>
  <c r="P7" i="16" s="1"/>
  <c r="N8" i="16"/>
  <c r="P8" i="16" s="1"/>
  <c r="N9" i="16"/>
  <c r="P9" i="16" s="1"/>
  <c r="N10" i="16"/>
  <c r="P10" i="16" s="1"/>
  <c r="N12" i="16"/>
  <c r="P12" i="16" s="1"/>
  <c r="N13" i="16"/>
  <c r="P13" i="16" s="1"/>
  <c r="N14" i="16"/>
  <c r="P14" i="16" s="1"/>
  <c r="N2" i="16"/>
  <c r="P2" i="16" s="1"/>
  <c r="AU10" i="15" l="1"/>
  <c r="AF77" i="15"/>
  <c r="AG77" i="15" s="1"/>
  <c r="AE77" i="15"/>
  <c r="AE78" i="15"/>
  <c r="AF78" i="15"/>
  <c r="AG78" i="15"/>
  <c r="AH78" i="15"/>
  <c r="AI78" i="15"/>
  <c r="AF21" i="15"/>
  <c r="AE21" i="15"/>
  <c r="AF314" i="15"/>
  <c r="AE314" i="15"/>
  <c r="AF313" i="15"/>
  <c r="AE313" i="15"/>
  <c r="AF312" i="15"/>
  <c r="AE312" i="15"/>
  <c r="AF311" i="15"/>
  <c r="AE311" i="15"/>
  <c r="AG311" i="15" s="1"/>
  <c r="AF310" i="15"/>
  <c r="AE310" i="15"/>
  <c r="AF309" i="15"/>
  <c r="AE309" i="15"/>
  <c r="AF308" i="15"/>
  <c r="AE308" i="15"/>
  <c r="AF307" i="15"/>
  <c r="AE307" i="15"/>
  <c r="AF306" i="15"/>
  <c r="AE306" i="15"/>
  <c r="AF305" i="15"/>
  <c r="AE305" i="15"/>
  <c r="AF304" i="15"/>
  <c r="AE304" i="15"/>
  <c r="AF303" i="15"/>
  <c r="AE303" i="15"/>
  <c r="AF302" i="15"/>
  <c r="AE302" i="15"/>
  <c r="AF301" i="15"/>
  <c r="AE301" i="15"/>
  <c r="AF300" i="15"/>
  <c r="AE300" i="15"/>
  <c r="AF299" i="15"/>
  <c r="AE299" i="15"/>
  <c r="AF298" i="15"/>
  <c r="AE298" i="15"/>
  <c r="AF297" i="15"/>
  <c r="AE297" i="15"/>
  <c r="AF296" i="15"/>
  <c r="AE296" i="15"/>
  <c r="AF295" i="15"/>
  <c r="AE295" i="15"/>
  <c r="AG295" i="15" s="1"/>
  <c r="AF294" i="15"/>
  <c r="AE294" i="15"/>
  <c r="AF293" i="15"/>
  <c r="AE293" i="15"/>
  <c r="AF292" i="15"/>
  <c r="AE292" i="15"/>
  <c r="AF291" i="15"/>
  <c r="AE291" i="15"/>
  <c r="AF290" i="15"/>
  <c r="AE290" i="15"/>
  <c r="AF289" i="15"/>
  <c r="AE289" i="15"/>
  <c r="AF288" i="15"/>
  <c r="AE288" i="15"/>
  <c r="AF287" i="15"/>
  <c r="AE287" i="15"/>
  <c r="AF286" i="15"/>
  <c r="AE286" i="15"/>
  <c r="AF285" i="15"/>
  <c r="AE285" i="15"/>
  <c r="AF284" i="15"/>
  <c r="AE284" i="15"/>
  <c r="AF283" i="15"/>
  <c r="AE283" i="15"/>
  <c r="AF282" i="15"/>
  <c r="AE282" i="15"/>
  <c r="AF281" i="15"/>
  <c r="AE281" i="15"/>
  <c r="AF280" i="15"/>
  <c r="AE280" i="15"/>
  <c r="AF279" i="15"/>
  <c r="AE279" i="15"/>
  <c r="AF278" i="15"/>
  <c r="AE278" i="15"/>
  <c r="AF277" i="15"/>
  <c r="AE277" i="15"/>
  <c r="AF276" i="15"/>
  <c r="AE276" i="15"/>
  <c r="AF275" i="15"/>
  <c r="AE275" i="15"/>
  <c r="AG275" i="15" s="1"/>
  <c r="AF274" i="15"/>
  <c r="AE274" i="15"/>
  <c r="AF273" i="15"/>
  <c r="AE273" i="15"/>
  <c r="AG273" i="15" s="1"/>
  <c r="AF272" i="15"/>
  <c r="AE272" i="15"/>
  <c r="AF271" i="15"/>
  <c r="AE271" i="15"/>
  <c r="AF270" i="15"/>
  <c r="AE270" i="15"/>
  <c r="AF269" i="15"/>
  <c r="AE269" i="15"/>
  <c r="AF268" i="15"/>
  <c r="AE268" i="15"/>
  <c r="AF267" i="15"/>
  <c r="AE267" i="15"/>
  <c r="AF266" i="15"/>
  <c r="AE266" i="15"/>
  <c r="AF265" i="15"/>
  <c r="AE265" i="15"/>
  <c r="AF264" i="15"/>
  <c r="AE264" i="15"/>
  <c r="AF263" i="15"/>
  <c r="AE263" i="15"/>
  <c r="AF262" i="15"/>
  <c r="AE262" i="15"/>
  <c r="AF261" i="15"/>
  <c r="AE261" i="15"/>
  <c r="AF260" i="15"/>
  <c r="AE260" i="15"/>
  <c r="AF259" i="15"/>
  <c r="AE259" i="15"/>
  <c r="AG259" i="15" s="1"/>
  <c r="AF258" i="15"/>
  <c r="AE258" i="15"/>
  <c r="AF257" i="15"/>
  <c r="AE257" i="15"/>
  <c r="AF256" i="15"/>
  <c r="AE256" i="15"/>
  <c r="AF255" i="15"/>
  <c r="AE255" i="15"/>
  <c r="AF254" i="15"/>
  <c r="AE254" i="15"/>
  <c r="AF253" i="15"/>
  <c r="AE253" i="15"/>
  <c r="AF252" i="15"/>
  <c r="AE252" i="15"/>
  <c r="AF251" i="15"/>
  <c r="AE251" i="15"/>
  <c r="AF250" i="15"/>
  <c r="AE250" i="15"/>
  <c r="AF249" i="15"/>
  <c r="AE249" i="15"/>
  <c r="AG249" i="15" s="1"/>
  <c r="AH249" i="15" s="1"/>
  <c r="AF248" i="15"/>
  <c r="AE248" i="15"/>
  <c r="AF247" i="15"/>
  <c r="AE247" i="15"/>
  <c r="AF246" i="15"/>
  <c r="AE246" i="15"/>
  <c r="AF245" i="15"/>
  <c r="AE245" i="15"/>
  <c r="AF244" i="15"/>
  <c r="AE244" i="15"/>
  <c r="AF243" i="15"/>
  <c r="AE243" i="15"/>
  <c r="AF242" i="15"/>
  <c r="AE242" i="15"/>
  <c r="AF241" i="15"/>
  <c r="AE241" i="15"/>
  <c r="AG241" i="15" s="1"/>
  <c r="AI241" i="15" s="1"/>
  <c r="AF240" i="15"/>
  <c r="AE240" i="15"/>
  <c r="AF239" i="15"/>
  <c r="AE239" i="15"/>
  <c r="AF238" i="15"/>
  <c r="AE238" i="15"/>
  <c r="AF237" i="15"/>
  <c r="AE237" i="15"/>
  <c r="AF236" i="15"/>
  <c r="AE236" i="15"/>
  <c r="AF235" i="15"/>
  <c r="AE235" i="15"/>
  <c r="AF234" i="15"/>
  <c r="AE234" i="15"/>
  <c r="AF233" i="15"/>
  <c r="AE233" i="15"/>
  <c r="AG233" i="15" s="1"/>
  <c r="AF232" i="15"/>
  <c r="AE232" i="15"/>
  <c r="AF231" i="15"/>
  <c r="AE231" i="15"/>
  <c r="AF230" i="15"/>
  <c r="AE230" i="15"/>
  <c r="AF229" i="15"/>
  <c r="AE229" i="15"/>
  <c r="AF228" i="15"/>
  <c r="AE228" i="15"/>
  <c r="AF227" i="15"/>
  <c r="AE227" i="15"/>
  <c r="AF226" i="15"/>
  <c r="AE226" i="15"/>
  <c r="AF225" i="15"/>
  <c r="AE225" i="15"/>
  <c r="AF224" i="15"/>
  <c r="AE224" i="15"/>
  <c r="AF223" i="15"/>
  <c r="AE223" i="15"/>
  <c r="AF222" i="15"/>
  <c r="AE222" i="15"/>
  <c r="AF221" i="15"/>
  <c r="AE221" i="15"/>
  <c r="AF220" i="15"/>
  <c r="AE220" i="15"/>
  <c r="AF219" i="15"/>
  <c r="AE219" i="15"/>
  <c r="AF218" i="15"/>
  <c r="AE218" i="15"/>
  <c r="AF217" i="15"/>
  <c r="AE217" i="15"/>
  <c r="AG217" i="15" s="1"/>
  <c r="AF216" i="15"/>
  <c r="AE216" i="15"/>
  <c r="AF215" i="15"/>
  <c r="AE215" i="15"/>
  <c r="AF214" i="15"/>
  <c r="AE214" i="15"/>
  <c r="AF213" i="15"/>
  <c r="AE213" i="15"/>
  <c r="AF212" i="15"/>
  <c r="AE212" i="15"/>
  <c r="AF211" i="15"/>
  <c r="AE211" i="15"/>
  <c r="AG211" i="15" s="1"/>
  <c r="AF210" i="15"/>
  <c r="AE210" i="15"/>
  <c r="AF209" i="15"/>
  <c r="AE209" i="15"/>
  <c r="AF208" i="15"/>
  <c r="AE208" i="15"/>
  <c r="AF207" i="15"/>
  <c r="AE207" i="15"/>
  <c r="AF206" i="15"/>
  <c r="AE206" i="15"/>
  <c r="AF205" i="15"/>
  <c r="AE205" i="15"/>
  <c r="AF204" i="15"/>
  <c r="AE204" i="15"/>
  <c r="AF203" i="15"/>
  <c r="AE203" i="15"/>
  <c r="AF202" i="15"/>
  <c r="AE202" i="15"/>
  <c r="AF201" i="15"/>
  <c r="AE201" i="15"/>
  <c r="AF200" i="15"/>
  <c r="AE200" i="15"/>
  <c r="AF199" i="15"/>
  <c r="AE199" i="15"/>
  <c r="AF198" i="15"/>
  <c r="AE198" i="15"/>
  <c r="AF197" i="15"/>
  <c r="AE197" i="15"/>
  <c r="AF196" i="15"/>
  <c r="AE196" i="15"/>
  <c r="AF195" i="15"/>
  <c r="AE195" i="15"/>
  <c r="AF194" i="15"/>
  <c r="AE194" i="15"/>
  <c r="AF193" i="15"/>
  <c r="AE193" i="15"/>
  <c r="AF192" i="15"/>
  <c r="AE192" i="15"/>
  <c r="AF191" i="15"/>
  <c r="AE191" i="15"/>
  <c r="AF190" i="15"/>
  <c r="AE190" i="15"/>
  <c r="AF189" i="15"/>
  <c r="AE189" i="15"/>
  <c r="AF188" i="15"/>
  <c r="AE188" i="15"/>
  <c r="AF187" i="15"/>
  <c r="AE187" i="15"/>
  <c r="AF186" i="15"/>
  <c r="AE186" i="15"/>
  <c r="AF185" i="15"/>
  <c r="AE185" i="15"/>
  <c r="AG185" i="15" s="1"/>
  <c r="AF184" i="15"/>
  <c r="AE184" i="15"/>
  <c r="AF183" i="15"/>
  <c r="AE183" i="15"/>
  <c r="AF182" i="15"/>
  <c r="AE182" i="15"/>
  <c r="AF181" i="15"/>
  <c r="AE181" i="15"/>
  <c r="AF180" i="15"/>
  <c r="AE180" i="15"/>
  <c r="AF179" i="15"/>
  <c r="AE179" i="15"/>
  <c r="AF178" i="15"/>
  <c r="AE178" i="15"/>
  <c r="AF177" i="15"/>
  <c r="AE177" i="15"/>
  <c r="AF176" i="15"/>
  <c r="AE176" i="15"/>
  <c r="AF175" i="15"/>
  <c r="AE175" i="15"/>
  <c r="AF174" i="15"/>
  <c r="AE174" i="15"/>
  <c r="AF173" i="15"/>
  <c r="AE173" i="15"/>
  <c r="AF172" i="15"/>
  <c r="AE172" i="15"/>
  <c r="AF171" i="15"/>
  <c r="AE171" i="15"/>
  <c r="AF170" i="15"/>
  <c r="AE170" i="15"/>
  <c r="AF169" i="15"/>
  <c r="AE169" i="15"/>
  <c r="AF168" i="15"/>
  <c r="AE168" i="15"/>
  <c r="AF167" i="15"/>
  <c r="AE167" i="15"/>
  <c r="AF166" i="15"/>
  <c r="AE166" i="15"/>
  <c r="AF165" i="15"/>
  <c r="AE165" i="15"/>
  <c r="AF164" i="15"/>
  <c r="AE164" i="15"/>
  <c r="AF163" i="15"/>
  <c r="AE163" i="15"/>
  <c r="AG163" i="15" s="1"/>
  <c r="AF162" i="15"/>
  <c r="AE162" i="15"/>
  <c r="AF161" i="15"/>
  <c r="AE161" i="15"/>
  <c r="AF160" i="15"/>
  <c r="AE160" i="15"/>
  <c r="AF159" i="15"/>
  <c r="AE159" i="15"/>
  <c r="AF158" i="15"/>
  <c r="AE158" i="15"/>
  <c r="AF157" i="15"/>
  <c r="AE157" i="15"/>
  <c r="AF156" i="15"/>
  <c r="AE156" i="15"/>
  <c r="AF155" i="15"/>
  <c r="AE155" i="15"/>
  <c r="AF154" i="15"/>
  <c r="AE154" i="15"/>
  <c r="AF153" i="15"/>
  <c r="AE153" i="15"/>
  <c r="AG153" i="15" s="1"/>
  <c r="AF152" i="15"/>
  <c r="AE152" i="15"/>
  <c r="AF151" i="15"/>
  <c r="AE151" i="15"/>
  <c r="AF150" i="15"/>
  <c r="AE150" i="15"/>
  <c r="AE149" i="15"/>
  <c r="AG149" i="15" s="1"/>
  <c r="AF148" i="15"/>
  <c r="AE148" i="15"/>
  <c r="AG148" i="15" s="1"/>
  <c r="AI148" i="15" s="1"/>
  <c r="AF147" i="15"/>
  <c r="AE147" i="15"/>
  <c r="AF146" i="15"/>
  <c r="AE146" i="15"/>
  <c r="AF145" i="15"/>
  <c r="AE145" i="15"/>
  <c r="AF144" i="15"/>
  <c r="AE144" i="15"/>
  <c r="AF143" i="15"/>
  <c r="AE143" i="15"/>
  <c r="AF142" i="15"/>
  <c r="AE142" i="15"/>
  <c r="AF141" i="15"/>
  <c r="AE141" i="15"/>
  <c r="AF140" i="15"/>
  <c r="AE140" i="15"/>
  <c r="AG140" i="15" s="1"/>
  <c r="AF139" i="15"/>
  <c r="AE139" i="15"/>
  <c r="AF138" i="15"/>
  <c r="AE138" i="15"/>
  <c r="AF137" i="15"/>
  <c r="AE137" i="15"/>
  <c r="AF136" i="15"/>
  <c r="AE136" i="15"/>
  <c r="AF135" i="15"/>
  <c r="AE135" i="15"/>
  <c r="AF134" i="15"/>
  <c r="AE134" i="15"/>
  <c r="AF133" i="15"/>
  <c r="AE133" i="15"/>
  <c r="AF132" i="15"/>
  <c r="AE132" i="15"/>
  <c r="AG132" i="15" s="1"/>
  <c r="AE131" i="15"/>
  <c r="AG131" i="15" s="1"/>
  <c r="AI131" i="15" s="1"/>
  <c r="AF130" i="15"/>
  <c r="AE130" i="15"/>
  <c r="AF129" i="15"/>
  <c r="AE129" i="15"/>
  <c r="AF128" i="15"/>
  <c r="AE128" i="15"/>
  <c r="AF127" i="15"/>
  <c r="AE127" i="15"/>
  <c r="AF126" i="15"/>
  <c r="AE126" i="15"/>
  <c r="AF125" i="15"/>
  <c r="AE125" i="15"/>
  <c r="AF124" i="15"/>
  <c r="AE124" i="15"/>
  <c r="AF123" i="15"/>
  <c r="AE123" i="15"/>
  <c r="AF122" i="15"/>
  <c r="AE122" i="15"/>
  <c r="AF121" i="15"/>
  <c r="AE121" i="15"/>
  <c r="AF120" i="15"/>
  <c r="AE120" i="15"/>
  <c r="AF119" i="15"/>
  <c r="AE119" i="15"/>
  <c r="AF118" i="15"/>
  <c r="AE118" i="15"/>
  <c r="AF117" i="15"/>
  <c r="AE117" i="15"/>
  <c r="AF116" i="15"/>
  <c r="AE116" i="15"/>
  <c r="AF115" i="15"/>
  <c r="AE115" i="15"/>
  <c r="AF114" i="15"/>
  <c r="AE114" i="15"/>
  <c r="AF113" i="15"/>
  <c r="AE113" i="15"/>
  <c r="AF112" i="15"/>
  <c r="AE112" i="15"/>
  <c r="AF111" i="15"/>
  <c r="AE111" i="15"/>
  <c r="AE110" i="15"/>
  <c r="AG110" i="15" s="1"/>
  <c r="AH110" i="15" s="1"/>
  <c r="AF109" i="15"/>
  <c r="AE109" i="15"/>
  <c r="AF108" i="15"/>
  <c r="AE108" i="15"/>
  <c r="AF107" i="15"/>
  <c r="AE107" i="15"/>
  <c r="AF106" i="15"/>
  <c r="AE106" i="15"/>
  <c r="AF105" i="15"/>
  <c r="AE105" i="15"/>
  <c r="AF104" i="15"/>
  <c r="AE104" i="15"/>
  <c r="AF103" i="15"/>
  <c r="AE103" i="15"/>
  <c r="AF102" i="15"/>
  <c r="AE102" i="15"/>
  <c r="AF101" i="15"/>
  <c r="AE101" i="15"/>
  <c r="AG101" i="15" s="1"/>
  <c r="AH101" i="15" s="1"/>
  <c r="AF100" i="15"/>
  <c r="AE100" i="15"/>
  <c r="AF99" i="15"/>
  <c r="AE99" i="15"/>
  <c r="AF98" i="15"/>
  <c r="AE98" i="15"/>
  <c r="AF97" i="15"/>
  <c r="AE97" i="15"/>
  <c r="AE96" i="15"/>
  <c r="AG96" i="15" s="1"/>
  <c r="AH96" i="15" s="1"/>
  <c r="AF95" i="15"/>
  <c r="AE95" i="15"/>
  <c r="AF94" i="15"/>
  <c r="AE94" i="15"/>
  <c r="AF93" i="15"/>
  <c r="AE93" i="15"/>
  <c r="AF92" i="15"/>
  <c r="AE92" i="15"/>
  <c r="AF91" i="15"/>
  <c r="AE91" i="15"/>
  <c r="AF90" i="15"/>
  <c r="AE90" i="15"/>
  <c r="AF89" i="15"/>
  <c r="AE89" i="15"/>
  <c r="AF88" i="15"/>
  <c r="AE88" i="15"/>
  <c r="AE87" i="15"/>
  <c r="AG87" i="15" s="1"/>
  <c r="AH87" i="15" s="1"/>
  <c r="AF86" i="15"/>
  <c r="AE86" i="15"/>
  <c r="AF85" i="15"/>
  <c r="AE85" i="15"/>
  <c r="AF84" i="15"/>
  <c r="AE84" i="15"/>
  <c r="AF83" i="15"/>
  <c r="AE83" i="15"/>
  <c r="AF82" i="15"/>
  <c r="AE82" i="15"/>
  <c r="AF81" i="15"/>
  <c r="AE81" i="15"/>
  <c r="AF80" i="15"/>
  <c r="AE80" i="15"/>
  <c r="AF79" i="15"/>
  <c r="AE79" i="15"/>
  <c r="AF76" i="15"/>
  <c r="AE76" i="15"/>
  <c r="AF75" i="15"/>
  <c r="AE75" i="15"/>
  <c r="AF74" i="15"/>
  <c r="AE74" i="15"/>
  <c r="AG74" i="15" s="1"/>
  <c r="AF73" i="15"/>
  <c r="AE73" i="15"/>
  <c r="AF72" i="15"/>
  <c r="AE72" i="15"/>
  <c r="AF71" i="15"/>
  <c r="AE71" i="15"/>
  <c r="AF70" i="15"/>
  <c r="AE70" i="15"/>
  <c r="AF69" i="15"/>
  <c r="AE69" i="15"/>
  <c r="AF68" i="15"/>
  <c r="AE68" i="15"/>
  <c r="AE67" i="15"/>
  <c r="AG67" i="15" s="1"/>
  <c r="AI67" i="15" s="1"/>
  <c r="AF66" i="15"/>
  <c r="AE66" i="15"/>
  <c r="AF65" i="15"/>
  <c r="AE65" i="15"/>
  <c r="AF64" i="15"/>
  <c r="AE64" i="15"/>
  <c r="AF63" i="15"/>
  <c r="AE63" i="15"/>
  <c r="AF62" i="15"/>
  <c r="AE62" i="15"/>
  <c r="AF61" i="15"/>
  <c r="AE61" i="15"/>
  <c r="AF60" i="15"/>
  <c r="AE60" i="15"/>
  <c r="AE59" i="15"/>
  <c r="AG59" i="15" s="1"/>
  <c r="AI59" i="15" s="1"/>
  <c r="AF58" i="15"/>
  <c r="AE58" i="15"/>
  <c r="AF57" i="15"/>
  <c r="AE57" i="15"/>
  <c r="AF56" i="15"/>
  <c r="AE56" i="15"/>
  <c r="AF55" i="15"/>
  <c r="AE55" i="15"/>
  <c r="AF54" i="15"/>
  <c r="AE54" i="15"/>
  <c r="AF53" i="15"/>
  <c r="AE53" i="15"/>
  <c r="AF52" i="15"/>
  <c r="AE52" i="15"/>
  <c r="AF51" i="15"/>
  <c r="AE51" i="15"/>
  <c r="AF50" i="15"/>
  <c r="AE50" i="15"/>
  <c r="AF49" i="15"/>
  <c r="AE49" i="15"/>
  <c r="AE48" i="15"/>
  <c r="AG48" i="15" s="1"/>
  <c r="AF47" i="15"/>
  <c r="AE47" i="15"/>
  <c r="AG47" i="15" s="1"/>
  <c r="AF46" i="15"/>
  <c r="AE46" i="15"/>
  <c r="AF45" i="15"/>
  <c r="AE45" i="15"/>
  <c r="AF44" i="15"/>
  <c r="AE44" i="15"/>
  <c r="AG44" i="15" s="1"/>
  <c r="AF43" i="15"/>
  <c r="AE43" i="15"/>
  <c r="AF42" i="15"/>
  <c r="AE42" i="15"/>
  <c r="AF41" i="15"/>
  <c r="AE41" i="15"/>
  <c r="AE40" i="15"/>
  <c r="AG40" i="15" s="1"/>
  <c r="AI40" i="15" s="1"/>
  <c r="AF39" i="15"/>
  <c r="AE39" i="15"/>
  <c r="AG39" i="15" s="1"/>
  <c r="AF38" i="15"/>
  <c r="AE38" i="15"/>
  <c r="AF37" i="15"/>
  <c r="AE37" i="15"/>
  <c r="AF36" i="15"/>
  <c r="AE36" i="15"/>
  <c r="AF35" i="15"/>
  <c r="AE35" i="15"/>
  <c r="AF34" i="15"/>
  <c r="AE34" i="15"/>
  <c r="AF33" i="15"/>
  <c r="AE33" i="15"/>
  <c r="AF32" i="15"/>
  <c r="AE32" i="15"/>
  <c r="AF31" i="15"/>
  <c r="AE31" i="15"/>
  <c r="AE30" i="15"/>
  <c r="AG30" i="15" s="1"/>
  <c r="AI30" i="15" s="1"/>
  <c r="AF29" i="15"/>
  <c r="AE29" i="15"/>
  <c r="AF28" i="15"/>
  <c r="AE28" i="15"/>
  <c r="AF27" i="15"/>
  <c r="AE27" i="15"/>
  <c r="AF26" i="15"/>
  <c r="AE26" i="15"/>
  <c r="AG26" i="15" s="1"/>
  <c r="AF25" i="15"/>
  <c r="AE25" i="15"/>
  <c r="AF24" i="15"/>
  <c r="AE24" i="15"/>
  <c r="AE23" i="15"/>
  <c r="AG23" i="15" s="1"/>
  <c r="AF22" i="15"/>
  <c r="AE22" i="15"/>
  <c r="AF20" i="15"/>
  <c r="AE20" i="15"/>
  <c r="AF19" i="15"/>
  <c r="AE19" i="15"/>
  <c r="AF18" i="15"/>
  <c r="AE18" i="15"/>
  <c r="AF17" i="15"/>
  <c r="AE17" i="15"/>
  <c r="AF16" i="15"/>
  <c r="AE16" i="15"/>
  <c r="AF15" i="15"/>
  <c r="AE15" i="15"/>
  <c r="AF14" i="15"/>
  <c r="AE14" i="15"/>
  <c r="AF13" i="15"/>
  <c r="AE13" i="15"/>
  <c r="AF12" i="15"/>
  <c r="AE12" i="15"/>
  <c r="AF11" i="15"/>
  <c r="AE11" i="15"/>
  <c r="AF10" i="15"/>
  <c r="AE10" i="15"/>
  <c r="AF9" i="15"/>
  <c r="AE9" i="15"/>
  <c r="AF8" i="15"/>
  <c r="AE8" i="15"/>
  <c r="AF7" i="15"/>
  <c r="AE7" i="15"/>
  <c r="AF6" i="15"/>
  <c r="AE6" i="15"/>
  <c r="AF5" i="15"/>
  <c r="AE5" i="15"/>
  <c r="AF4" i="15"/>
  <c r="AE4" i="15"/>
  <c r="AE3" i="15"/>
  <c r="AG3" i="15" s="1"/>
  <c r="AF2" i="15"/>
  <c r="AE2" i="15"/>
  <c r="K499" i="15"/>
  <c r="J499" i="15"/>
  <c r="K498" i="15"/>
  <c r="J498" i="15"/>
  <c r="K497" i="15"/>
  <c r="J497" i="15"/>
  <c r="K496" i="15"/>
  <c r="J496" i="15"/>
  <c r="K495" i="15"/>
  <c r="J495" i="15"/>
  <c r="K494" i="15"/>
  <c r="J494" i="15"/>
  <c r="K493" i="15"/>
  <c r="J493" i="15"/>
  <c r="K492" i="15"/>
  <c r="J492" i="15"/>
  <c r="K491" i="15"/>
  <c r="J491" i="15"/>
  <c r="K490" i="15"/>
  <c r="J490" i="15"/>
  <c r="K489" i="15"/>
  <c r="J489" i="15"/>
  <c r="K488" i="15"/>
  <c r="J488" i="15"/>
  <c r="K487" i="15"/>
  <c r="J487" i="15"/>
  <c r="K486" i="15"/>
  <c r="J486" i="15"/>
  <c r="K485" i="15"/>
  <c r="J485" i="15"/>
  <c r="K484" i="15"/>
  <c r="J484" i="15"/>
  <c r="K483" i="15"/>
  <c r="J483" i="15"/>
  <c r="K482" i="15"/>
  <c r="J482" i="15"/>
  <c r="K481" i="15"/>
  <c r="J481" i="15"/>
  <c r="K480" i="15"/>
  <c r="J480" i="15"/>
  <c r="K479" i="15"/>
  <c r="J479" i="15"/>
  <c r="K478" i="15"/>
  <c r="J478" i="15"/>
  <c r="K477" i="15"/>
  <c r="J477" i="15"/>
  <c r="K476" i="15"/>
  <c r="J476" i="15"/>
  <c r="K475" i="15"/>
  <c r="J475" i="15"/>
  <c r="K474" i="15"/>
  <c r="J474" i="15"/>
  <c r="K473" i="15"/>
  <c r="J473" i="15"/>
  <c r="K472" i="15"/>
  <c r="J472" i="15"/>
  <c r="K471" i="15"/>
  <c r="J471" i="15"/>
  <c r="K470" i="15"/>
  <c r="J470" i="15"/>
  <c r="K469" i="15"/>
  <c r="J469" i="15"/>
  <c r="K468" i="15"/>
  <c r="J468" i="15"/>
  <c r="K467" i="15"/>
  <c r="J467" i="15"/>
  <c r="K466" i="15"/>
  <c r="J466" i="15"/>
  <c r="K465" i="15"/>
  <c r="J465" i="15"/>
  <c r="K464" i="15"/>
  <c r="J464" i="15"/>
  <c r="K463" i="15"/>
  <c r="J463" i="15"/>
  <c r="K462" i="15"/>
  <c r="J462" i="15"/>
  <c r="K461" i="15"/>
  <c r="J461" i="15"/>
  <c r="K460" i="15"/>
  <c r="J460" i="15"/>
  <c r="K459" i="15"/>
  <c r="J459" i="15"/>
  <c r="K458" i="15"/>
  <c r="J458" i="15"/>
  <c r="K457" i="15"/>
  <c r="J457" i="15"/>
  <c r="K456" i="15"/>
  <c r="J456" i="15"/>
  <c r="K455" i="15"/>
  <c r="J455" i="15"/>
  <c r="K454" i="15"/>
  <c r="J454" i="15"/>
  <c r="K453" i="15"/>
  <c r="J453" i="15"/>
  <c r="K452" i="15"/>
  <c r="J452" i="15"/>
  <c r="K451" i="15"/>
  <c r="J451" i="15"/>
  <c r="K450" i="15"/>
  <c r="J450" i="15"/>
  <c r="K449" i="15"/>
  <c r="J449" i="15"/>
  <c r="K448" i="15"/>
  <c r="J448" i="15"/>
  <c r="K447" i="15"/>
  <c r="J447" i="15"/>
  <c r="K446" i="15"/>
  <c r="J446" i="15"/>
  <c r="K445" i="15"/>
  <c r="J445" i="15"/>
  <c r="K444" i="15"/>
  <c r="J444" i="15"/>
  <c r="K443" i="15"/>
  <c r="J443" i="15"/>
  <c r="K442" i="15"/>
  <c r="J442" i="15"/>
  <c r="K441" i="15"/>
  <c r="J441" i="15"/>
  <c r="K440" i="15"/>
  <c r="J440" i="15"/>
  <c r="K439" i="15"/>
  <c r="J439" i="15"/>
  <c r="K438" i="15"/>
  <c r="J438" i="15"/>
  <c r="K437" i="15"/>
  <c r="J437" i="15"/>
  <c r="K436" i="15"/>
  <c r="J436" i="15"/>
  <c r="K435" i="15"/>
  <c r="J435" i="15"/>
  <c r="K434" i="15"/>
  <c r="J434" i="15"/>
  <c r="K433" i="15"/>
  <c r="J433" i="15"/>
  <c r="K432" i="15"/>
  <c r="J432" i="15"/>
  <c r="K431" i="15"/>
  <c r="J431" i="15"/>
  <c r="K430" i="15"/>
  <c r="J430" i="15"/>
  <c r="K429" i="15"/>
  <c r="J429" i="15"/>
  <c r="K428" i="15"/>
  <c r="J428" i="15"/>
  <c r="K427" i="15"/>
  <c r="J427" i="15"/>
  <c r="K426" i="15"/>
  <c r="J426" i="15"/>
  <c r="K425" i="15"/>
  <c r="J425" i="15"/>
  <c r="K424" i="15"/>
  <c r="J424" i="15"/>
  <c r="K423" i="15"/>
  <c r="J423" i="15"/>
  <c r="K422" i="15"/>
  <c r="J422" i="15"/>
  <c r="K421" i="15"/>
  <c r="J421" i="15"/>
  <c r="K420" i="15"/>
  <c r="J420" i="15"/>
  <c r="K419" i="15"/>
  <c r="J419" i="15"/>
  <c r="K418" i="15"/>
  <c r="J418" i="15"/>
  <c r="K417" i="15"/>
  <c r="J417" i="15"/>
  <c r="K416" i="15"/>
  <c r="J416" i="15"/>
  <c r="K415" i="15"/>
  <c r="J415" i="15"/>
  <c r="K414" i="15"/>
  <c r="J414" i="15"/>
  <c r="K413" i="15"/>
  <c r="J413" i="15"/>
  <c r="K412" i="15"/>
  <c r="J412" i="15"/>
  <c r="K411" i="15"/>
  <c r="J411" i="15"/>
  <c r="K410" i="15"/>
  <c r="J410" i="15"/>
  <c r="K409" i="15"/>
  <c r="J409" i="15"/>
  <c r="K408" i="15"/>
  <c r="J408" i="15"/>
  <c r="K407" i="15"/>
  <c r="J407" i="15"/>
  <c r="K406" i="15"/>
  <c r="J406" i="15"/>
  <c r="K405" i="15"/>
  <c r="J405" i="15"/>
  <c r="K404" i="15"/>
  <c r="J404" i="15"/>
  <c r="K403" i="15"/>
  <c r="J403" i="15"/>
  <c r="K402" i="15"/>
  <c r="J402" i="15"/>
  <c r="K401" i="15"/>
  <c r="J401" i="15"/>
  <c r="K400" i="15"/>
  <c r="J400" i="15"/>
  <c r="K399" i="15"/>
  <c r="J399" i="15"/>
  <c r="K398" i="15"/>
  <c r="J398" i="15"/>
  <c r="K397" i="15"/>
  <c r="J397" i="15"/>
  <c r="K396" i="15"/>
  <c r="J396" i="15"/>
  <c r="K395" i="15"/>
  <c r="J395" i="15"/>
  <c r="K394" i="15"/>
  <c r="J394" i="15"/>
  <c r="K393" i="15"/>
  <c r="J393" i="15"/>
  <c r="K392" i="15"/>
  <c r="J392" i="15"/>
  <c r="K391" i="15"/>
  <c r="J391" i="15"/>
  <c r="K390" i="15"/>
  <c r="J390" i="15"/>
  <c r="K389" i="15"/>
  <c r="J389" i="15"/>
  <c r="K388" i="15"/>
  <c r="J388" i="15"/>
  <c r="K387" i="15"/>
  <c r="J387" i="15"/>
  <c r="K386" i="15"/>
  <c r="J386" i="15"/>
  <c r="K385" i="15"/>
  <c r="J385" i="15"/>
  <c r="K384" i="15"/>
  <c r="J384" i="15"/>
  <c r="K383" i="15"/>
  <c r="J383" i="15"/>
  <c r="K382" i="15"/>
  <c r="J382" i="15"/>
  <c r="K381" i="15"/>
  <c r="J381" i="15"/>
  <c r="K380" i="15"/>
  <c r="J380" i="15"/>
  <c r="K379" i="15"/>
  <c r="J379" i="15"/>
  <c r="K378" i="15"/>
  <c r="J378" i="15"/>
  <c r="K377" i="15"/>
  <c r="J377" i="15"/>
  <c r="K376" i="15"/>
  <c r="J376" i="15"/>
  <c r="K375" i="15"/>
  <c r="J375" i="15"/>
  <c r="K374" i="15"/>
  <c r="J374" i="15"/>
  <c r="K373" i="15"/>
  <c r="J373" i="15"/>
  <c r="K372" i="15"/>
  <c r="J372" i="15"/>
  <c r="K371" i="15"/>
  <c r="J371" i="15"/>
  <c r="K370" i="15"/>
  <c r="J370" i="15"/>
  <c r="K369" i="15"/>
  <c r="J369" i="15"/>
  <c r="K368" i="15"/>
  <c r="J368" i="15"/>
  <c r="K367" i="15"/>
  <c r="J367" i="15"/>
  <c r="K366" i="15"/>
  <c r="J366" i="15"/>
  <c r="K365" i="15"/>
  <c r="J365" i="15"/>
  <c r="K364" i="15"/>
  <c r="J364" i="15"/>
  <c r="K363" i="15"/>
  <c r="J363" i="15"/>
  <c r="K362" i="15"/>
  <c r="J362" i="15"/>
  <c r="K361" i="15"/>
  <c r="J361" i="15"/>
  <c r="K360" i="15"/>
  <c r="J360" i="15"/>
  <c r="K359" i="15"/>
  <c r="J359" i="15"/>
  <c r="K358" i="15"/>
  <c r="J358" i="15"/>
  <c r="K357" i="15"/>
  <c r="J357" i="15"/>
  <c r="K356" i="15"/>
  <c r="J356" i="15"/>
  <c r="K355" i="15"/>
  <c r="J355" i="15"/>
  <c r="K354" i="15"/>
  <c r="J354" i="15"/>
  <c r="K353" i="15"/>
  <c r="J353" i="15"/>
  <c r="K352" i="15"/>
  <c r="J352" i="15"/>
  <c r="K351" i="15"/>
  <c r="J351" i="15"/>
  <c r="K350" i="15"/>
  <c r="J350" i="15"/>
  <c r="K349" i="15"/>
  <c r="J349" i="15"/>
  <c r="K348" i="15"/>
  <c r="J348" i="15"/>
  <c r="K347" i="15"/>
  <c r="J347" i="15"/>
  <c r="K346" i="15"/>
  <c r="J346" i="15"/>
  <c r="K345" i="15"/>
  <c r="J345" i="15"/>
  <c r="K344" i="15"/>
  <c r="J344" i="15"/>
  <c r="K343" i="15"/>
  <c r="J343" i="15"/>
  <c r="K342" i="15"/>
  <c r="J342" i="15"/>
  <c r="K341" i="15"/>
  <c r="J341" i="15"/>
  <c r="K340" i="15"/>
  <c r="J340" i="15"/>
  <c r="K339" i="15"/>
  <c r="J339" i="15"/>
  <c r="K338" i="15"/>
  <c r="J338" i="15"/>
  <c r="K337" i="15"/>
  <c r="J337" i="15"/>
  <c r="K336" i="15"/>
  <c r="J336" i="15"/>
  <c r="K335" i="15"/>
  <c r="J335" i="15"/>
  <c r="K334" i="15"/>
  <c r="J334" i="15"/>
  <c r="J333" i="15"/>
  <c r="L333" i="15" s="1"/>
  <c r="M333" i="15" s="1"/>
  <c r="K332" i="15"/>
  <c r="J332" i="15"/>
  <c r="K331" i="15"/>
  <c r="J331" i="15"/>
  <c r="K330" i="15"/>
  <c r="J330" i="15"/>
  <c r="K329" i="15"/>
  <c r="J329" i="15"/>
  <c r="K328" i="15"/>
  <c r="J328" i="15"/>
  <c r="K327" i="15"/>
  <c r="J327" i="15"/>
  <c r="K326" i="15"/>
  <c r="J326" i="15"/>
  <c r="K325" i="15"/>
  <c r="J325" i="15"/>
  <c r="K324" i="15"/>
  <c r="J324" i="15"/>
  <c r="K323" i="15"/>
  <c r="J323" i="15"/>
  <c r="K322" i="15"/>
  <c r="J322" i="15"/>
  <c r="K321" i="15"/>
  <c r="J321" i="15"/>
  <c r="K320" i="15"/>
  <c r="J320" i="15"/>
  <c r="K319" i="15"/>
  <c r="J319" i="15"/>
  <c r="K318" i="15"/>
  <c r="J318" i="15"/>
  <c r="K317" i="15"/>
  <c r="J317" i="15"/>
  <c r="K316" i="15"/>
  <c r="J316" i="15"/>
  <c r="J315" i="15"/>
  <c r="L315" i="15" s="1"/>
  <c r="K314" i="15"/>
  <c r="J314" i="15"/>
  <c r="K313" i="15"/>
  <c r="J313" i="15"/>
  <c r="K312" i="15"/>
  <c r="J312" i="15"/>
  <c r="K311" i="15"/>
  <c r="J311" i="15"/>
  <c r="K310" i="15"/>
  <c r="J310" i="15"/>
  <c r="K309" i="15"/>
  <c r="J309" i="15"/>
  <c r="K308" i="15"/>
  <c r="J308" i="15"/>
  <c r="K307" i="15"/>
  <c r="J307" i="15"/>
  <c r="K306" i="15"/>
  <c r="J306" i="15"/>
  <c r="K305" i="15"/>
  <c r="J305" i="15"/>
  <c r="K304" i="15"/>
  <c r="J304" i="15"/>
  <c r="K303" i="15"/>
  <c r="J303" i="15"/>
  <c r="K302" i="15"/>
  <c r="J302" i="15"/>
  <c r="K301" i="15"/>
  <c r="J301" i="15"/>
  <c r="K300" i="15"/>
  <c r="J300" i="15"/>
  <c r="K299" i="15"/>
  <c r="J299" i="15"/>
  <c r="K298" i="15"/>
  <c r="J298" i="15"/>
  <c r="K297" i="15"/>
  <c r="J297" i="15"/>
  <c r="K296" i="15"/>
  <c r="J296" i="15"/>
  <c r="K295" i="15"/>
  <c r="J295" i="15"/>
  <c r="J294" i="15"/>
  <c r="L294" i="15" s="1"/>
  <c r="M294" i="15" s="1"/>
  <c r="K293" i="15"/>
  <c r="J293" i="15"/>
  <c r="K292" i="15"/>
  <c r="J292" i="15"/>
  <c r="K291" i="15"/>
  <c r="J291" i="15"/>
  <c r="K290" i="15"/>
  <c r="J290" i="15"/>
  <c r="K289" i="15"/>
  <c r="J289" i="15"/>
  <c r="K288" i="15"/>
  <c r="J288" i="15"/>
  <c r="K287" i="15"/>
  <c r="J287" i="15"/>
  <c r="K286" i="15"/>
  <c r="J286" i="15"/>
  <c r="K285" i="15"/>
  <c r="J285" i="15"/>
  <c r="K284" i="15"/>
  <c r="J284" i="15"/>
  <c r="K283" i="15"/>
  <c r="J283" i="15"/>
  <c r="K282" i="15"/>
  <c r="J282" i="15"/>
  <c r="K281" i="15"/>
  <c r="J281" i="15"/>
  <c r="K280" i="15"/>
  <c r="J280" i="15"/>
  <c r="K279" i="15"/>
  <c r="J279" i="15"/>
  <c r="K278" i="15"/>
  <c r="J278" i="15"/>
  <c r="L278" i="15" s="1"/>
  <c r="N278" i="15" s="1"/>
  <c r="K277" i="15"/>
  <c r="J277" i="15"/>
  <c r="J276" i="15"/>
  <c r="L276" i="15" s="1"/>
  <c r="K275" i="15"/>
  <c r="J275" i="15"/>
  <c r="K274" i="15"/>
  <c r="J274" i="15"/>
  <c r="K273" i="15"/>
  <c r="J273" i="15"/>
  <c r="K272" i="15"/>
  <c r="J272" i="15"/>
  <c r="K271" i="15"/>
  <c r="J271" i="15"/>
  <c r="K270" i="15"/>
  <c r="J270" i="15"/>
  <c r="K269" i="15"/>
  <c r="J269" i="15"/>
  <c r="K268" i="15"/>
  <c r="J268" i="15"/>
  <c r="K267" i="15"/>
  <c r="J267" i="15"/>
  <c r="K266" i="15"/>
  <c r="J266" i="15"/>
  <c r="K265" i="15"/>
  <c r="J265" i="15"/>
  <c r="K264" i="15"/>
  <c r="J264" i="15"/>
  <c r="J263" i="15"/>
  <c r="L263" i="15" s="1"/>
  <c r="K262" i="15"/>
  <c r="J262" i="15"/>
  <c r="K261" i="15"/>
  <c r="J261" i="15"/>
  <c r="K260" i="15"/>
  <c r="J260" i="15"/>
  <c r="K259" i="15"/>
  <c r="J259" i="15"/>
  <c r="K258" i="15"/>
  <c r="J258" i="15"/>
  <c r="K257" i="15"/>
  <c r="J257" i="15"/>
  <c r="K256" i="15"/>
  <c r="J256" i="15"/>
  <c r="K255" i="15"/>
  <c r="J255" i="15"/>
  <c r="K254" i="15"/>
  <c r="J254" i="15"/>
  <c r="K253" i="15"/>
  <c r="J253" i="15"/>
  <c r="J252" i="15"/>
  <c r="L252" i="15" s="1"/>
  <c r="N252" i="15" s="1"/>
  <c r="K251" i="15"/>
  <c r="J251" i="15"/>
  <c r="K250" i="15"/>
  <c r="J250" i="15"/>
  <c r="K249" i="15"/>
  <c r="J249" i="15"/>
  <c r="K248" i="15"/>
  <c r="J248" i="15"/>
  <c r="K247" i="15"/>
  <c r="J247" i="15"/>
  <c r="K246" i="15"/>
  <c r="J246" i="15"/>
  <c r="K245" i="15"/>
  <c r="J245" i="15"/>
  <c r="K244" i="15"/>
  <c r="J244" i="15"/>
  <c r="K243" i="15"/>
  <c r="J243" i="15"/>
  <c r="K242" i="15"/>
  <c r="J242" i="15"/>
  <c r="K241" i="15"/>
  <c r="J241" i="15"/>
  <c r="K240" i="15"/>
  <c r="J240" i="15"/>
  <c r="K239" i="15"/>
  <c r="J239" i="15"/>
  <c r="J238" i="15"/>
  <c r="L238" i="15" s="1"/>
  <c r="K237" i="15"/>
  <c r="J237" i="15"/>
  <c r="K236" i="15"/>
  <c r="J236" i="15"/>
  <c r="K235" i="15"/>
  <c r="J235" i="15"/>
  <c r="K234" i="15"/>
  <c r="J234" i="15"/>
  <c r="K233" i="15"/>
  <c r="J233" i="15"/>
  <c r="K232" i="15"/>
  <c r="J232" i="15"/>
  <c r="K231" i="15"/>
  <c r="J231" i="15"/>
  <c r="K230" i="15"/>
  <c r="J230" i="15"/>
  <c r="K229" i="15"/>
  <c r="J229" i="15"/>
  <c r="K228" i="15"/>
  <c r="J228" i="15"/>
  <c r="J227" i="15"/>
  <c r="L227" i="15" s="1"/>
  <c r="K226" i="15"/>
  <c r="J226" i="15"/>
  <c r="L226" i="15" s="1"/>
  <c r="K225" i="15"/>
  <c r="J225" i="15"/>
  <c r="K224" i="15"/>
  <c r="J224" i="15"/>
  <c r="K223" i="15"/>
  <c r="J223" i="15"/>
  <c r="K222" i="15"/>
  <c r="J222" i="15"/>
  <c r="K221" i="15"/>
  <c r="J221" i="15"/>
  <c r="K220" i="15"/>
  <c r="J220" i="15"/>
  <c r="K219" i="15"/>
  <c r="J219" i="15"/>
  <c r="K218" i="15"/>
  <c r="J218" i="15"/>
  <c r="K217" i="15"/>
  <c r="J217" i="15"/>
  <c r="K216" i="15"/>
  <c r="J216" i="15"/>
  <c r="K215" i="15"/>
  <c r="J215" i="15"/>
  <c r="J214" i="15"/>
  <c r="L214" i="15" s="1"/>
  <c r="K213" i="15"/>
  <c r="J213" i="15"/>
  <c r="K212" i="15"/>
  <c r="J212" i="15"/>
  <c r="K211" i="15"/>
  <c r="J211" i="15"/>
  <c r="K210" i="15"/>
  <c r="J210" i="15"/>
  <c r="K209" i="15"/>
  <c r="J209" i="15"/>
  <c r="K208" i="15"/>
  <c r="J208" i="15"/>
  <c r="K207" i="15"/>
  <c r="J207" i="15"/>
  <c r="K206" i="15"/>
  <c r="J206" i="15"/>
  <c r="K205" i="15"/>
  <c r="J205" i="15"/>
  <c r="K204" i="15"/>
  <c r="J204" i="15"/>
  <c r="K203" i="15"/>
  <c r="J203" i="15"/>
  <c r="K202" i="15"/>
  <c r="J202" i="15"/>
  <c r="K201" i="15"/>
  <c r="J201" i="15"/>
  <c r="J200" i="15"/>
  <c r="L200" i="15" s="1"/>
  <c r="K199" i="15"/>
  <c r="J199" i="15"/>
  <c r="K198" i="15"/>
  <c r="J198" i="15"/>
  <c r="K197" i="15"/>
  <c r="J197" i="15"/>
  <c r="K196" i="15"/>
  <c r="J196" i="15"/>
  <c r="K195" i="15"/>
  <c r="J195" i="15"/>
  <c r="K194" i="15"/>
  <c r="J194" i="15"/>
  <c r="K193" i="15"/>
  <c r="J193" i="15"/>
  <c r="K192" i="15"/>
  <c r="J192" i="15"/>
  <c r="K191" i="15"/>
  <c r="J191" i="15"/>
  <c r="K190" i="15"/>
  <c r="J190" i="15"/>
  <c r="K189" i="15"/>
  <c r="J189" i="15"/>
  <c r="K188" i="15"/>
  <c r="J188" i="15"/>
  <c r="K187" i="15"/>
  <c r="J187" i="15"/>
  <c r="L187" i="15" s="1"/>
  <c r="K186" i="15"/>
  <c r="J186" i="15"/>
  <c r="K185" i="15"/>
  <c r="J185" i="15"/>
  <c r="J184" i="15"/>
  <c r="L184" i="15" s="1"/>
  <c r="M184" i="15" s="1"/>
  <c r="K183" i="15"/>
  <c r="J183" i="15"/>
  <c r="K182" i="15"/>
  <c r="J182" i="15"/>
  <c r="K181" i="15"/>
  <c r="J181" i="15"/>
  <c r="K180" i="15"/>
  <c r="J180" i="15"/>
  <c r="K179" i="15"/>
  <c r="J179" i="15"/>
  <c r="K178" i="15"/>
  <c r="J178" i="15"/>
  <c r="K177" i="15"/>
  <c r="J177" i="15"/>
  <c r="J176" i="15"/>
  <c r="L176" i="15" s="1"/>
  <c r="K175" i="15"/>
  <c r="J175" i="15"/>
  <c r="K174" i="15"/>
  <c r="J174" i="15"/>
  <c r="K173" i="15"/>
  <c r="J173" i="15"/>
  <c r="K172" i="15"/>
  <c r="J172" i="15"/>
  <c r="J171" i="15"/>
  <c r="L171" i="15" s="1"/>
  <c r="K170" i="15"/>
  <c r="J170" i="15"/>
  <c r="K169" i="15"/>
  <c r="J169" i="15"/>
  <c r="K168" i="15"/>
  <c r="J168" i="15"/>
  <c r="K167" i="15"/>
  <c r="J167" i="15"/>
  <c r="K166" i="15"/>
  <c r="J166" i="15"/>
  <c r="J165" i="15"/>
  <c r="L165" i="15" s="1"/>
  <c r="K164" i="15"/>
  <c r="J164" i="15"/>
  <c r="K163" i="15"/>
  <c r="J163" i="15"/>
  <c r="K162" i="15"/>
  <c r="J162" i="15"/>
  <c r="K161" i="15"/>
  <c r="J161" i="15"/>
  <c r="J160" i="15"/>
  <c r="L160" i="15" s="1"/>
  <c r="K159" i="15"/>
  <c r="J159" i="15"/>
  <c r="K158" i="15"/>
  <c r="J158" i="15"/>
  <c r="K157" i="15"/>
  <c r="J157" i="15"/>
  <c r="J156" i="15"/>
  <c r="L156" i="15" s="1"/>
  <c r="K155" i="15"/>
  <c r="J155" i="15"/>
  <c r="K154" i="15"/>
  <c r="J154" i="15"/>
  <c r="K153" i="15"/>
  <c r="J153" i="15"/>
  <c r="K152" i="15"/>
  <c r="J152" i="15"/>
  <c r="J151" i="15"/>
  <c r="L151" i="15" s="1"/>
  <c r="K150" i="15"/>
  <c r="J150" i="15"/>
  <c r="K149" i="15"/>
  <c r="J149" i="15"/>
  <c r="K148" i="15"/>
  <c r="J148" i="15"/>
  <c r="K147" i="15"/>
  <c r="J147" i="15"/>
  <c r="J146" i="15"/>
  <c r="L146" i="15" s="1"/>
  <c r="K145" i="15"/>
  <c r="J145" i="15"/>
  <c r="K144" i="15"/>
  <c r="J144" i="15"/>
  <c r="K143" i="15"/>
  <c r="J143" i="15"/>
  <c r="J142" i="15"/>
  <c r="L142" i="15" s="1"/>
  <c r="N142" i="15" s="1"/>
  <c r="K141" i="15"/>
  <c r="J141" i="15"/>
  <c r="K140" i="15"/>
  <c r="J140" i="15"/>
  <c r="K139" i="15"/>
  <c r="J139" i="15"/>
  <c r="J138" i="15"/>
  <c r="L138" i="15" s="1"/>
  <c r="M138" i="15" s="1"/>
  <c r="K137" i="15"/>
  <c r="J137" i="15"/>
  <c r="K136" i="15"/>
  <c r="J136" i="15"/>
  <c r="K135" i="15"/>
  <c r="J135" i="15"/>
  <c r="K134" i="15"/>
  <c r="J134" i="15"/>
  <c r="K133" i="15"/>
  <c r="J133" i="15"/>
  <c r="K132" i="15"/>
  <c r="J132" i="15"/>
  <c r="K131" i="15"/>
  <c r="J131" i="15"/>
  <c r="K130" i="15"/>
  <c r="J130" i="15"/>
  <c r="K129" i="15"/>
  <c r="J129" i="15"/>
  <c r="K128" i="15"/>
  <c r="J128" i="15"/>
  <c r="K127" i="15"/>
  <c r="J127" i="15"/>
  <c r="K126" i="15"/>
  <c r="J126" i="15"/>
  <c r="K125" i="15"/>
  <c r="J125" i="15"/>
  <c r="K124" i="15"/>
  <c r="J124" i="15"/>
  <c r="K123" i="15"/>
  <c r="J123" i="15"/>
  <c r="K122" i="15"/>
  <c r="J122" i="15"/>
  <c r="K121" i="15"/>
  <c r="J121" i="15"/>
  <c r="K120" i="15"/>
  <c r="J120" i="15"/>
  <c r="K119" i="15"/>
  <c r="J119" i="15"/>
  <c r="K118" i="15"/>
  <c r="J118" i="15"/>
  <c r="K117" i="15"/>
  <c r="J117" i="15"/>
  <c r="K116" i="15"/>
  <c r="J116" i="15"/>
  <c r="K115" i="15"/>
  <c r="J115" i="15"/>
  <c r="K114" i="15"/>
  <c r="J114" i="15"/>
  <c r="K113" i="15"/>
  <c r="J113" i="15"/>
  <c r="K112" i="15"/>
  <c r="J112" i="15"/>
  <c r="K111" i="15"/>
  <c r="J111" i="15"/>
  <c r="K110" i="15"/>
  <c r="J110" i="15"/>
  <c r="K109" i="15"/>
  <c r="J109" i="15"/>
  <c r="K108" i="15"/>
  <c r="J108" i="15"/>
  <c r="K107" i="15"/>
  <c r="J107" i="15"/>
  <c r="K106" i="15"/>
  <c r="J106" i="15"/>
  <c r="K105" i="15"/>
  <c r="J105" i="15"/>
  <c r="K104" i="15"/>
  <c r="J104" i="15"/>
  <c r="K103" i="15"/>
  <c r="J103" i="15"/>
  <c r="K102" i="15"/>
  <c r="J102" i="15"/>
  <c r="K101" i="15"/>
  <c r="J101" i="15"/>
  <c r="L101" i="15" s="1"/>
  <c r="M101" i="15" s="1"/>
  <c r="K100" i="15"/>
  <c r="J100" i="15"/>
  <c r="K99" i="15"/>
  <c r="J99" i="15"/>
  <c r="K98" i="15"/>
  <c r="J98" i="15"/>
  <c r="K97" i="15"/>
  <c r="J97" i="15"/>
  <c r="K96" i="15"/>
  <c r="J96" i="15"/>
  <c r="K95" i="15"/>
  <c r="J95" i="15"/>
  <c r="K94" i="15"/>
  <c r="J94" i="15"/>
  <c r="K93" i="15"/>
  <c r="J93" i="15"/>
  <c r="K92" i="15"/>
  <c r="J92" i="15"/>
  <c r="K91" i="15"/>
  <c r="J91" i="15"/>
  <c r="K90" i="15"/>
  <c r="J90" i="15"/>
  <c r="K89" i="15"/>
  <c r="J89" i="15"/>
  <c r="K88" i="15"/>
  <c r="J88" i="15"/>
  <c r="K87" i="15"/>
  <c r="J87" i="15"/>
  <c r="K86" i="15"/>
  <c r="J86" i="15"/>
  <c r="K85" i="15"/>
  <c r="J85" i="15"/>
  <c r="K84" i="15"/>
  <c r="J84" i="15"/>
  <c r="K83" i="15"/>
  <c r="J83" i="15"/>
  <c r="K82" i="15"/>
  <c r="J82" i="15"/>
  <c r="K81" i="15"/>
  <c r="J81" i="15"/>
  <c r="K80" i="15"/>
  <c r="J80" i="15"/>
  <c r="K79" i="15"/>
  <c r="J79" i="15"/>
  <c r="K78" i="15"/>
  <c r="J78" i="15"/>
  <c r="K77" i="15"/>
  <c r="J77" i="15"/>
  <c r="K76" i="15"/>
  <c r="J76" i="15"/>
  <c r="K75" i="15"/>
  <c r="J75" i="15"/>
  <c r="K74" i="15"/>
  <c r="J74" i="15"/>
  <c r="K73" i="15"/>
  <c r="J73" i="15"/>
  <c r="K72" i="15"/>
  <c r="J72" i="15"/>
  <c r="K71" i="15"/>
  <c r="J71" i="15"/>
  <c r="K70" i="15"/>
  <c r="J70" i="15"/>
  <c r="K69" i="15"/>
  <c r="J69" i="15"/>
  <c r="K68" i="15"/>
  <c r="J68" i="15"/>
  <c r="K67" i="15"/>
  <c r="J67" i="15"/>
  <c r="K66" i="15"/>
  <c r="J66" i="15"/>
  <c r="K65" i="15"/>
  <c r="J65" i="15"/>
  <c r="K64" i="15"/>
  <c r="J64" i="15"/>
  <c r="K63" i="15"/>
  <c r="J63" i="15"/>
  <c r="K62" i="15"/>
  <c r="J62" i="15"/>
  <c r="K61" i="15"/>
  <c r="J61" i="15"/>
  <c r="K60" i="15"/>
  <c r="J60" i="15"/>
  <c r="K59" i="15"/>
  <c r="J59" i="15"/>
  <c r="K58" i="15"/>
  <c r="J58" i="15"/>
  <c r="K57" i="15"/>
  <c r="J57" i="15"/>
  <c r="K56" i="15"/>
  <c r="J56" i="15"/>
  <c r="K55" i="15"/>
  <c r="J55" i="15"/>
  <c r="K54" i="15"/>
  <c r="J54" i="15"/>
  <c r="K53" i="15"/>
  <c r="J53" i="15"/>
  <c r="K52" i="15"/>
  <c r="J52" i="15"/>
  <c r="K51" i="15"/>
  <c r="J51" i="15"/>
  <c r="K50" i="15"/>
  <c r="J50" i="15"/>
  <c r="K49" i="15"/>
  <c r="J49" i="15"/>
  <c r="K48" i="15"/>
  <c r="J48" i="15"/>
  <c r="K47" i="15"/>
  <c r="J47" i="15"/>
  <c r="K46" i="15"/>
  <c r="J46" i="15"/>
  <c r="K45" i="15"/>
  <c r="J45" i="15"/>
  <c r="K44" i="15"/>
  <c r="J44" i="15"/>
  <c r="K43" i="15"/>
  <c r="J43" i="15"/>
  <c r="K42" i="15"/>
  <c r="J42" i="15"/>
  <c r="K41" i="15"/>
  <c r="J41" i="15"/>
  <c r="K40" i="15"/>
  <c r="J40" i="15"/>
  <c r="K39" i="15"/>
  <c r="J39" i="15"/>
  <c r="K38" i="15"/>
  <c r="J38" i="15"/>
  <c r="K37" i="15"/>
  <c r="J37" i="15"/>
  <c r="K36" i="15"/>
  <c r="J36" i="15"/>
  <c r="K35" i="15"/>
  <c r="J35" i="15"/>
  <c r="K34" i="15"/>
  <c r="J34" i="15"/>
  <c r="K33" i="15"/>
  <c r="J33" i="15"/>
  <c r="K32" i="15"/>
  <c r="J32" i="15"/>
  <c r="K31" i="15"/>
  <c r="J31" i="15"/>
  <c r="K30" i="15"/>
  <c r="J30" i="15"/>
  <c r="K29" i="15"/>
  <c r="J29" i="15"/>
  <c r="K28" i="15"/>
  <c r="J28" i="15"/>
  <c r="K27" i="15"/>
  <c r="J27" i="15"/>
  <c r="K26" i="15"/>
  <c r="J26" i="15"/>
  <c r="K25" i="15"/>
  <c r="J25" i="15"/>
  <c r="K24" i="15"/>
  <c r="J24" i="15"/>
  <c r="K23" i="15"/>
  <c r="J23" i="15"/>
  <c r="K22" i="15"/>
  <c r="J22" i="15"/>
  <c r="K21" i="15"/>
  <c r="J21" i="15"/>
  <c r="K20" i="15"/>
  <c r="J20" i="15"/>
  <c r="K19" i="15"/>
  <c r="J19" i="15"/>
  <c r="K18" i="15"/>
  <c r="J18" i="15"/>
  <c r="K17" i="15"/>
  <c r="J17" i="15"/>
  <c r="K16" i="15"/>
  <c r="J16" i="15"/>
  <c r="K15" i="15"/>
  <c r="J15" i="15"/>
  <c r="K14" i="15"/>
  <c r="J14" i="15"/>
  <c r="K13" i="15"/>
  <c r="J13" i="15"/>
  <c r="K12" i="15"/>
  <c r="J12" i="15"/>
  <c r="K11" i="15"/>
  <c r="J11" i="15"/>
  <c r="K10" i="15"/>
  <c r="J10" i="15"/>
  <c r="K9" i="15"/>
  <c r="J9" i="15"/>
  <c r="J8" i="15"/>
  <c r="L8" i="15" s="1"/>
  <c r="K7" i="15"/>
  <c r="J7" i="15"/>
  <c r="K6" i="15"/>
  <c r="J6" i="15"/>
  <c r="K5" i="15"/>
  <c r="J5" i="15"/>
  <c r="K4" i="15"/>
  <c r="J4" i="15"/>
  <c r="J3" i="15"/>
  <c r="L3" i="15" s="1"/>
  <c r="N3" i="15" s="1"/>
  <c r="K2" i="15"/>
  <c r="J2" i="15"/>
  <c r="AH77" i="15" l="1"/>
  <c r="AI77" i="15"/>
  <c r="AG94" i="15"/>
  <c r="AG111" i="15"/>
  <c r="AG119" i="15"/>
  <c r="AG127" i="15"/>
  <c r="AG200" i="15"/>
  <c r="AG248" i="15"/>
  <c r="AH248" i="15" s="1"/>
  <c r="AG288" i="15"/>
  <c r="AI288" i="15" s="1"/>
  <c r="AG304" i="15"/>
  <c r="AI304" i="15" s="1"/>
  <c r="L7" i="15"/>
  <c r="N7" i="15" s="1"/>
  <c r="AG70" i="15"/>
  <c r="AH70" i="15" s="1"/>
  <c r="AG21" i="15"/>
  <c r="AI21" i="15"/>
  <c r="AH21" i="15"/>
  <c r="AG22" i="15"/>
  <c r="AI22" i="15" s="1"/>
  <c r="AG284" i="15"/>
  <c r="AH284" i="15" s="1"/>
  <c r="AG300" i="15"/>
  <c r="AG269" i="15"/>
  <c r="AI269" i="15" s="1"/>
  <c r="L394" i="15"/>
  <c r="M394" i="15" s="1"/>
  <c r="L426" i="15"/>
  <c r="N426" i="15" s="1"/>
  <c r="L490" i="15"/>
  <c r="N490" i="15" s="1"/>
  <c r="AG290" i="15"/>
  <c r="AI290" i="15" s="1"/>
  <c r="L89" i="15"/>
  <c r="M89" i="15" s="1"/>
  <c r="L137" i="15"/>
  <c r="M137" i="15" s="1"/>
  <c r="AG80" i="15"/>
  <c r="AH80" i="15" s="1"/>
  <c r="L68" i="15"/>
  <c r="N68" i="15" s="1"/>
  <c r="L60" i="15"/>
  <c r="M60" i="15" s="1"/>
  <c r="L30" i="15"/>
  <c r="N30" i="15" s="1"/>
  <c r="L46" i="15"/>
  <c r="M46" i="15" s="1"/>
  <c r="L305" i="15"/>
  <c r="M305" i="15" s="1"/>
  <c r="AG37" i="15"/>
  <c r="AI37" i="15" s="1"/>
  <c r="AG121" i="15"/>
  <c r="AH121" i="15" s="1"/>
  <c r="L174" i="15"/>
  <c r="N174" i="15" s="1"/>
  <c r="L420" i="15"/>
  <c r="N420" i="15" s="1"/>
  <c r="L166" i="15"/>
  <c r="N166" i="15" s="1"/>
  <c r="L324" i="15"/>
  <c r="M324" i="15" s="1"/>
  <c r="L365" i="15"/>
  <c r="N365" i="15" s="1"/>
  <c r="L152" i="15"/>
  <c r="N152" i="15" s="1"/>
  <c r="L447" i="15"/>
  <c r="N447" i="15" s="1"/>
  <c r="L144" i="15"/>
  <c r="M144" i="15" s="1"/>
  <c r="AG165" i="15"/>
  <c r="AI165" i="15" s="1"/>
  <c r="AG181" i="15"/>
  <c r="AH181" i="15" s="1"/>
  <c r="AG221" i="15"/>
  <c r="AI221" i="15" s="1"/>
  <c r="L154" i="15"/>
  <c r="N154" i="15" s="1"/>
  <c r="AG183" i="15"/>
  <c r="AH183" i="15" s="1"/>
  <c r="L82" i="15"/>
  <c r="N82" i="15" s="1"/>
  <c r="L248" i="15"/>
  <c r="N248" i="15" s="1"/>
  <c r="AG17" i="15"/>
  <c r="AH17" i="15" s="1"/>
  <c r="L443" i="15"/>
  <c r="N443" i="15" s="1"/>
  <c r="L467" i="15"/>
  <c r="N467" i="15" s="1"/>
  <c r="L483" i="15"/>
  <c r="N483" i="15" s="1"/>
  <c r="L44" i="15"/>
  <c r="N44" i="15" s="1"/>
  <c r="L75" i="15"/>
  <c r="N75" i="15" s="1"/>
  <c r="L123" i="15"/>
  <c r="N123" i="15" s="1"/>
  <c r="L131" i="15"/>
  <c r="N131" i="15" s="1"/>
  <c r="L191" i="15"/>
  <c r="M191" i="15" s="1"/>
  <c r="L199" i="15"/>
  <c r="M199" i="15" s="1"/>
  <c r="L241" i="15"/>
  <c r="M241" i="15" s="1"/>
  <c r="L266" i="15"/>
  <c r="N266" i="15" s="1"/>
  <c r="L307" i="15"/>
  <c r="N307" i="15" s="1"/>
  <c r="AG28" i="15"/>
  <c r="AI28" i="15" s="1"/>
  <c r="AG45" i="15"/>
  <c r="AH45" i="15" s="1"/>
  <c r="L304" i="15"/>
  <c r="N304" i="15" s="1"/>
  <c r="L181" i="15"/>
  <c r="N181" i="15" s="1"/>
  <c r="L289" i="15"/>
  <c r="N289" i="15" s="1"/>
  <c r="L346" i="15"/>
  <c r="N346" i="15" s="1"/>
  <c r="AG162" i="15"/>
  <c r="AI162" i="15" s="1"/>
  <c r="AG178" i="15"/>
  <c r="AH178" i="15" s="1"/>
  <c r="AG194" i="15"/>
  <c r="AI194" i="15" s="1"/>
  <c r="AG226" i="15"/>
  <c r="AI226" i="15" s="1"/>
  <c r="AG242" i="15"/>
  <c r="AI242" i="15" s="1"/>
  <c r="AG274" i="15"/>
  <c r="AI274" i="15" s="1"/>
  <c r="AG289" i="15"/>
  <c r="AH289" i="15" s="1"/>
  <c r="L399" i="15"/>
  <c r="N399" i="15" s="1"/>
  <c r="L455" i="15"/>
  <c r="N455" i="15" s="1"/>
  <c r="L487" i="15"/>
  <c r="N487" i="15" s="1"/>
  <c r="L376" i="15"/>
  <c r="N376" i="15" s="1"/>
  <c r="L375" i="15"/>
  <c r="M375" i="15" s="1"/>
  <c r="L392" i="15"/>
  <c r="M392" i="15" s="1"/>
  <c r="L53" i="15"/>
  <c r="M53" i="15" s="1"/>
  <c r="L259" i="15"/>
  <c r="N259" i="15" s="1"/>
  <c r="L389" i="15"/>
  <c r="N389" i="15" s="1"/>
  <c r="AG72" i="15"/>
  <c r="AH72" i="15" s="1"/>
  <c r="L439" i="15"/>
  <c r="N439" i="15" s="1"/>
  <c r="AG133" i="15"/>
  <c r="AI133" i="15" s="1"/>
  <c r="L361" i="15"/>
  <c r="N361" i="15" s="1"/>
  <c r="AG134" i="15"/>
  <c r="AH134" i="15" s="1"/>
  <c r="L382" i="15"/>
  <c r="N382" i="15" s="1"/>
  <c r="AG10" i="15"/>
  <c r="AI10" i="15" s="1"/>
  <c r="AG139" i="15"/>
  <c r="AH139" i="15" s="1"/>
  <c r="L249" i="15"/>
  <c r="M249" i="15" s="1"/>
  <c r="L109" i="15"/>
  <c r="N109" i="15" s="1"/>
  <c r="L217" i="15"/>
  <c r="M217" i="15" s="1"/>
  <c r="L290" i="15"/>
  <c r="N290" i="15" s="1"/>
  <c r="L314" i="15"/>
  <c r="N314" i="15" s="1"/>
  <c r="L354" i="15"/>
  <c r="N354" i="15" s="1"/>
  <c r="L432" i="15"/>
  <c r="AG97" i="15"/>
  <c r="AG213" i="15"/>
  <c r="AI213" i="15" s="1"/>
  <c r="L23" i="15"/>
  <c r="N23" i="15" s="1"/>
  <c r="L31" i="15"/>
  <c r="M31" i="15" s="1"/>
  <c r="L39" i="15"/>
  <c r="N39" i="15" s="1"/>
  <c r="L47" i="15"/>
  <c r="N47" i="15" s="1"/>
  <c r="L110" i="15"/>
  <c r="L143" i="15"/>
  <c r="N143" i="15" s="1"/>
  <c r="L347" i="15"/>
  <c r="N347" i="15" s="1"/>
  <c r="L378" i="15"/>
  <c r="N378" i="15" s="1"/>
  <c r="AG104" i="15"/>
  <c r="AI104" i="15" s="1"/>
  <c r="AG126" i="15"/>
  <c r="AH126" i="15" s="1"/>
  <c r="AG190" i="15"/>
  <c r="AH190" i="15" s="1"/>
  <c r="AG198" i="15"/>
  <c r="AI198" i="15" s="1"/>
  <c r="AG214" i="15"/>
  <c r="AG270" i="15"/>
  <c r="AH270" i="15" s="1"/>
  <c r="AG86" i="15"/>
  <c r="AH86" i="15" s="1"/>
  <c r="L178" i="15"/>
  <c r="N178" i="15" s="1"/>
  <c r="L317" i="15"/>
  <c r="AG27" i="15"/>
  <c r="AG120" i="15"/>
  <c r="AI120" i="15" s="1"/>
  <c r="AG160" i="15"/>
  <c r="AI160" i="15" s="1"/>
  <c r="AG176" i="15"/>
  <c r="AI176" i="15" s="1"/>
  <c r="AG263" i="15"/>
  <c r="AH263" i="15" s="1"/>
  <c r="AG271" i="15"/>
  <c r="AH271" i="15" s="1"/>
  <c r="L65" i="15"/>
  <c r="N65" i="15" s="1"/>
  <c r="AG256" i="15"/>
  <c r="AI256" i="15" s="1"/>
  <c r="AG264" i="15"/>
  <c r="AG280" i="15"/>
  <c r="AH280" i="15" s="1"/>
  <c r="L436" i="15"/>
  <c r="M436" i="15" s="1"/>
  <c r="L444" i="15"/>
  <c r="N444" i="15" s="1"/>
  <c r="L484" i="15"/>
  <c r="L492" i="15"/>
  <c r="N492" i="15" s="1"/>
  <c r="AG2" i="15"/>
  <c r="AI2" i="15" s="1"/>
  <c r="AG106" i="15"/>
  <c r="AI106" i="15" s="1"/>
  <c r="AG145" i="15"/>
  <c r="AH145" i="15" s="1"/>
  <c r="AG209" i="15"/>
  <c r="AI209" i="15" s="1"/>
  <c r="L35" i="15"/>
  <c r="N35" i="15" s="1"/>
  <c r="L390" i="15"/>
  <c r="N390" i="15" s="1"/>
  <c r="L429" i="15"/>
  <c r="N429" i="15" s="1"/>
  <c r="L437" i="15"/>
  <c r="M437" i="15" s="1"/>
  <c r="L469" i="15"/>
  <c r="N469" i="15" s="1"/>
  <c r="AG56" i="15"/>
  <c r="AI56" i="15" s="1"/>
  <c r="AG69" i="15"/>
  <c r="AH69" i="15" s="1"/>
  <c r="L406" i="15"/>
  <c r="N406" i="15" s="1"/>
  <c r="L141" i="15"/>
  <c r="L208" i="15"/>
  <c r="M208" i="15" s="1"/>
  <c r="L273" i="15"/>
  <c r="N273" i="15" s="1"/>
  <c r="L338" i="15"/>
  <c r="L159" i="15"/>
  <c r="L250" i="15"/>
  <c r="M250" i="15" s="1"/>
  <c r="L274" i="15"/>
  <c r="N274" i="15" s="1"/>
  <c r="L339" i="15"/>
  <c r="N339" i="15" s="1"/>
  <c r="L362" i="15"/>
  <c r="N362" i="15" s="1"/>
  <c r="L370" i="15"/>
  <c r="AG237" i="15"/>
  <c r="AI237" i="15" s="1"/>
  <c r="AG253" i="15"/>
  <c r="L291" i="15"/>
  <c r="N291" i="15" s="1"/>
  <c r="L177" i="15"/>
  <c r="L210" i="15"/>
  <c r="M210" i="15" s="1"/>
  <c r="L267" i="15"/>
  <c r="L275" i="15"/>
  <c r="N275" i="15" s="1"/>
  <c r="L300" i="15"/>
  <c r="N300" i="15" s="1"/>
  <c r="L363" i="15"/>
  <c r="N363" i="15" s="1"/>
  <c r="L410" i="15"/>
  <c r="N410" i="15" s="1"/>
  <c r="AG66" i="15"/>
  <c r="AH66" i="15" s="1"/>
  <c r="L24" i="15"/>
  <c r="N24" i="15" s="1"/>
  <c r="L48" i="15"/>
  <c r="N48" i="15" s="1"/>
  <c r="L135" i="15"/>
  <c r="N135" i="15" s="1"/>
  <c r="L194" i="15"/>
  <c r="N194" i="15" s="1"/>
  <c r="L292" i="15"/>
  <c r="M292" i="15" s="1"/>
  <c r="L88" i="15"/>
  <c r="L112" i="15"/>
  <c r="N112" i="15" s="1"/>
  <c r="L120" i="15"/>
  <c r="L128" i="15"/>
  <c r="N128" i="15" s="1"/>
  <c r="L136" i="15"/>
  <c r="N136" i="15" s="1"/>
  <c r="AG54" i="15"/>
  <c r="AH54" i="15" s="1"/>
  <c r="AG100" i="15"/>
  <c r="AI100" i="15" s="1"/>
  <c r="AG128" i="15"/>
  <c r="AI128" i="15" s="1"/>
  <c r="AG136" i="15"/>
  <c r="AI136" i="15" s="1"/>
  <c r="AG216" i="15"/>
  <c r="AH216" i="15" s="1"/>
  <c r="L405" i="15"/>
  <c r="N405" i="15" s="1"/>
  <c r="AG14" i="15"/>
  <c r="AH14" i="15" s="1"/>
  <c r="L288" i="15"/>
  <c r="M288" i="15" s="1"/>
  <c r="L312" i="15"/>
  <c r="N312" i="15" s="1"/>
  <c r="L328" i="15"/>
  <c r="N328" i="15" s="1"/>
  <c r="L383" i="15"/>
  <c r="M383" i="15" s="1"/>
  <c r="L391" i="15"/>
  <c r="N391" i="15" s="1"/>
  <c r="L422" i="15"/>
  <c r="N422" i="15" s="1"/>
  <c r="L430" i="15"/>
  <c r="N430" i="15" s="1"/>
  <c r="L232" i="15"/>
  <c r="N232" i="15" s="1"/>
  <c r="L272" i="15"/>
  <c r="M272" i="15" s="1"/>
  <c r="L321" i="15"/>
  <c r="N321" i="15" s="1"/>
  <c r="L368" i="15"/>
  <c r="M368" i="15" s="1"/>
  <c r="L415" i="15"/>
  <c r="N415" i="15" s="1"/>
  <c r="L448" i="15"/>
  <c r="M448" i="15" s="1"/>
  <c r="L456" i="15"/>
  <c r="L472" i="15"/>
  <c r="AG154" i="15"/>
  <c r="AI154" i="15" s="1"/>
  <c r="L66" i="15"/>
  <c r="M66" i="15" s="1"/>
  <c r="L81" i="15"/>
  <c r="M81" i="15" s="1"/>
  <c r="L145" i="15"/>
  <c r="L220" i="15"/>
  <c r="N220" i="15" s="1"/>
  <c r="L348" i="15"/>
  <c r="N348" i="15" s="1"/>
  <c r="L371" i="15"/>
  <c r="M371" i="15" s="1"/>
  <c r="AG95" i="15"/>
  <c r="AH95" i="15" s="1"/>
  <c r="AG202" i="15"/>
  <c r="AI202" i="15" s="1"/>
  <c r="AG257" i="15"/>
  <c r="AI257" i="15" s="1"/>
  <c r="AG265" i="15"/>
  <c r="AH265" i="15" s="1"/>
  <c r="AG281" i="15"/>
  <c r="AH281" i="15" s="1"/>
  <c r="AG296" i="15"/>
  <c r="AH296" i="15" s="1"/>
  <c r="L20" i="15"/>
  <c r="N20" i="15" s="1"/>
  <c r="L28" i="15"/>
  <c r="L52" i="15"/>
  <c r="N52" i="15" s="1"/>
  <c r="L121" i="15"/>
  <c r="L204" i="15"/>
  <c r="M204" i="15" s="1"/>
  <c r="N333" i="15"/>
  <c r="L379" i="15"/>
  <c r="N379" i="15" s="1"/>
  <c r="L418" i="15"/>
  <c r="M418" i="15" s="1"/>
  <c r="L457" i="15"/>
  <c r="M457" i="15" s="1"/>
  <c r="L196" i="15"/>
  <c r="L286" i="15"/>
  <c r="N286" i="15" s="1"/>
  <c r="L372" i="15"/>
  <c r="M372" i="15" s="1"/>
  <c r="AG11" i="15"/>
  <c r="AI11" i="15" s="1"/>
  <c r="AG58" i="15"/>
  <c r="AI58" i="15" s="1"/>
  <c r="AG89" i="15"/>
  <c r="AG102" i="15"/>
  <c r="AI102" i="15" s="1"/>
  <c r="AG234" i="15"/>
  <c r="AH234" i="15" s="1"/>
  <c r="AG250" i="15"/>
  <c r="AI250" i="15" s="1"/>
  <c r="AG258" i="15"/>
  <c r="AI258" i="15" s="1"/>
  <c r="L90" i="15"/>
  <c r="M90" i="15" s="1"/>
  <c r="L213" i="15"/>
  <c r="L326" i="15"/>
  <c r="L334" i="15"/>
  <c r="N334" i="15" s="1"/>
  <c r="L342" i="15"/>
  <c r="N342" i="15" s="1"/>
  <c r="L380" i="15"/>
  <c r="L442" i="15"/>
  <c r="N442" i="15" s="1"/>
  <c r="L458" i="15"/>
  <c r="N458" i="15" s="1"/>
  <c r="L474" i="15"/>
  <c r="N474" i="15" s="1"/>
  <c r="L498" i="15"/>
  <c r="N498" i="15" s="1"/>
  <c r="AG116" i="15"/>
  <c r="AH116" i="15" s="1"/>
  <c r="L164" i="15"/>
  <c r="N164" i="15" s="1"/>
  <c r="L189" i="15"/>
  <c r="M189" i="15" s="1"/>
  <c r="L197" i="15"/>
  <c r="M197" i="15" s="1"/>
  <c r="L319" i="15"/>
  <c r="M319" i="15" s="1"/>
  <c r="L404" i="15"/>
  <c r="N404" i="15" s="1"/>
  <c r="AG24" i="15"/>
  <c r="AH24" i="15" s="1"/>
  <c r="AG243" i="15"/>
  <c r="AH243" i="15" s="1"/>
  <c r="M200" i="15"/>
  <c r="N200" i="15"/>
  <c r="L228" i="15"/>
  <c r="M228" i="15" s="1"/>
  <c r="L357" i="15"/>
  <c r="N357" i="15" s="1"/>
  <c r="L40" i="15"/>
  <c r="M40" i="15" s="1"/>
  <c r="L236" i="15"/>
  <c r="M236" i="15" s="1"/>
  <c r="L343" i="15"/>
  <c r="N343" i="15" s="1"/>
  <c r="AG51" i="15"/>
  <c r="AI51" i="15" s="1"/>
  <c r="L114" i="15"/>
  <c r="N114" i="15" s="1"/>
  <c r="L237" i="15"/>
  <c r="N237" i="15" s="1"/>
  <c r="L453" i="15"/>
  <c r="N453" i="15" s="1"/>
  <c r="L49" i="15"/>
  <c r="L193" i="15"/>
  <c r="N193" i="15" s="1"/>
  <c r="L230" i="15"/>
  <c r="L27" i="15"/>
  <c r="M27" i="15" s="1"/>
  <c r="L42" i="15"/>
  <c r="M42" i="15" s="1"/>
  <c r="L56" i="15"/>
  <c r="M56" i="15" s="1"/>
  <c r="L71" i="15"/>
  <c r="M71" i="15" s="1"/>
  <c r="L50" i="15"/>
  <c r="M50" i="15" s="1"/>
  <c r="AG302" i="15"/>
  <c r="L172" i="15"/>
  <c r="N172" i="15" s="1"/>
  <c r="L117" i="15"/>
  <c r="N117" i="15" s="1"/>
  <c r="L209" i="15"/>
  <c r="N209" i="15" s="1"/>
  <c r="L14" i="15"/>
  <c r="M14" i="15" s="1"/>
  <c r="L118" i="15"/>
  <c r="N118" i="15" s="1"/>
  <c r="AG98" i="15"/>
  <c r="AI98" i="15" s="1"/>
  <c r="L325" i="15"/>
  <c r="N325" i="15" s="1"/>
  <c r="L441" i="15"/>
  <c r="M441" i="15" s="1"/>
  <c r="L494" i="15"/>
  <c r="M494" i="15" s="1"/>
  <c r="AG13" i="15"/>
  <c r="AI13" i="15" s="1"/>
  <c r="AG55" i="15"/>
  <c r="AG61" i="15"/>
  <c r="AI61" i="15" s="1"/>
  <c r="AG124" i="15"/>
  <c r="AG147" i="15"/>
  <c r="AI147" i="15" s="1"/>
  <c r="AG179" i="15"/>
  <c r="AH179" i="15" s="1"/>
  <c r="AG224" i="15"/>
  <c r="AG231" i="15"/>
  <c r="AI231" i="15" s="1"/>
  <c r="AG246" i="15"/>
  <c r="AI246" i="15" s="1"/>
  <c r="L83" i="15"/>
  <c r="L69" i="15"/>
  <c r="N69" i="15" s="1"/>
  <c r="L129" i="15"/>
  <c r="N129" i="15" s="1"/>
  <c r="L260" i="15"/>
  <c r="N260" i="15" s="1"/>
  <c r="L335" i="15"/>
  <c r="M335" i="15" s="1"/>
  <c r="L364" i="15"/>
  <c r="M364" i="15" s="1"/>
  <c r="L385" i="15"/>
  <c r="N385" i="15" s="1"/>
  <c r="L452" i="15"/>
  <c r="N452" i="15" s="1"/>
  <c r="AG35" i="15"/>
  <c r="L99" i="15"/>
  <c r="N99" i="15" s="1"/>
  <c r="L245" i="15"/>
  <c r="N245" i="15" s="1"/>
  <c r="L459" i="15"/>
  <c r="N459" i="15" s="1"/>
  <c r="AG308" i="15"/>
  <c r="AI308" i="15" s="1"/>
  <c r="L55" i="15"/>
  <c r="N55" i="15" s="1"/>
  <c r="L70" i="15"/>
  <c r="N70" i="15" s="1"/>
  <c r="L130" i="15"/>
  <c r="L207" i="15"/>
  <c r="M207" i="15" s="1"/>
  <c r="L344" i="15"/>
  <c r="N344" i="15" s="1"/>
  <c r="L423" i="15"/>
  <c r="M423" i="15" s="1"/>
  <c r="AG46" i="15"/>
  <c r="L11" i="15"/>
  <c r="N11" i="15" s="1"/>
  <c r="L78" i="15"/>
  <c r="M78" i="15" s="1"/>
  <c r="L170" i="15"/>
  <c r="M170" i="15" s="1"/>
  <c r="L185" i="15"/>
  <c r="N185" i="15" s="1"/>
  <c r="L254" i="15"/>
  <c r="N254" i="15" s="1"/>
  <c r="L322" i="15"/>
  <c r="N322" i="15" s="1"/>
  <c r="L373" i="15"/>
  <c r="N373" i="15" s="1"/>
  <c r="L475" i="15"/>
  <c r="AG301" i="15"/>
  <c r="AH301" i="15" s="1"/>
  <c r="L222" i="15"/>
  <c r="N222" i="15" s="1"/>
  <c r="L262" i="15"/>
  <c r="M262" i="15" s="1"/>
  <c r="L301" i="15"/>
  <c r="M301" i="15" s="1"/>
  <c r="AG272" i="15"/>
  <c r="AI272" i="15" s="1"/>
  <c r="L64" i="15"/>
  <c r="N64" i="15" s="1"/>
  <c r="L79" i="15"/>
  <c r="M79" i="15" s="1"/>
  <c r="L140" i="15"/>
  <c r="N140" i="15" s="1"/>
  <c r="L155" i="15"/>
  <c r="N155" i="15" s="1"/>
  <c r="L179" i="15"/>
  <c r="L417" i="15"/>
  <c r="N417" i="15" s="1"/>
  <c r="AG34" i="15"/>
  <c r="AI34" i="15" s="1"/>
  <c r="AG207" i="15"/>
  <c r="AI207" i="15" s="1"/>
  <c r="AG310" i="15"/>
  <c r="AH310" i="15" s="1"/>
  <c r="L43" i="15"/>
  <c r="N43" i="15" s="1"/>
  <c r="N101" i="15"/>
  <c r="L132" i="15"/>
  <c r="M132" i="15" s="1"/>
  <c r="L148" i="15"/>
  <c r="N148" i="15" s="1"/>
  <c r="AG15" i="15"/>
  <c r="AG19" i="15"/>
  <c r="AG192" i="15"/>
  <c r="AI192" i="15" s="1"/>
  <c r="L36" i="15"/>
  <c r="L125" i="15"/>
  <c r="M125" i="15" s="1"/>
  <c r="L133" i="15"/>
  <c r="N133" i="15" s="1"/>
  <c r="N165" i="15"/>
  <c r="M165" i="15"/>
  <c r="L195" i="15"/>
  <c r="N195" i="15" s="1"/>
  <c r="L332" i="15"/>
  <c r="N332" i="15" s="1"/>
  <c r="L463" i="15"/>
  <c r="N463" i="15" s="1"/>
  <c r="AG4" i="15"/>
  <c r="AI4" i="15" s="1"/>
  <c r="AG6" i="15"/>
  <c r="AI6" i="15" s="1"/>
  <c r="AG9" i="15"/>
  <c r="AH9" i="15" s="1"/>
  <c r="AG238" i="15"/>
  <c r="AH238" i="15" s="1"/>
  <c r="AG267" i="15"/>
  <c r="AI267" i="15" s="1"/>
  <c r="AG312" i="15"/>
  <c r="AI312" i="15" s="1"/>
  <c r="L6" i="15"/>
  <c r="N6" i="15" s="1"/>
  <c r="L22" i="15"/>
  <c r="N22" i="15" s="1"/>
  <c r="L103" i="15"/>
  <c r="N103" i="15" s="1"/>
  <c r="L134" i="15"/>
  <c r="L225" i="15"/>
  <c r="N225" i="15" s="1"/>
  <c r="L311" i="15"/>
  <c r="N311" i="15" s="1"/>
  <c r="L318" i="15"/>
  <c r="N318" i="15" s="1"/>
  <c r="L369" i="15"/>
  <c r="N369" i="15" s="1"/>
  <c r="L211" i="15"/>
  <c r="N211" i="15" s="1"/>
  <c r="L218" i="15"/>
  <c r="M218" i="15" s="1"/>
  <c r="M226" i="15"/>
  <c r="N226" i="15"/>
  <c r="L282" i="15"/>
  <c r="N282" i="15" s="1"/>
  <c r="L297" i="15"/>
  <c r="N297" i="15" s="1"/>
  <c r="L355" i="15"/>
  <c r="M355" i="15" s="1"/>
  <c r="L398" i="15"/>
  <c r="M398" i="15" s="1"/>
  <c r="L434" i="15"/>
  <c r="AG5" i="15"/>
  <c r="AI5" i="15" s="1"/>
  <c r="AG68" i="15"/>
  <c r="AI68" i="15" s="1"/>
  <c r="AG81" i="15"/>
  <c r="AH81" i="15" s="1"/>
  <c r="AG99" i="15"/>
  <c r="AG117" i="15"/>
  <c r="AH117" i="15" s="1"/>
  <c r="AG195" i="15"/>
  <c r="AH195" i="15" s="1"/>
  <c r="AG210" i="15"/>
  <c r="AH210" i="15" s="1"/>
  <c r="AG232" i="15"/>
  <c r="AH232" i="15" s="1"/>
  <c r="AG239" i="15"/>
  <c r="AH239" i="15" s="1"/>
  <c r="AG254" i="15"/>
  <c r="AH254" i="15" s="1"/>
  <c r="L98" i="15"/>
  <c r="N98" i="15" s="1"/>
  <c r="L25" i="15"/>
  <c r="N25" i="15" s="1"/>
  <c r="L54" i="15"/>
  <c r="M54" i="15" s="1"/>
  <c r="L106" i="15"/>
  <c r="N106" i="15" s="1"/>
  <c r="L268" i="15"/>
  <c r="M268" i="15" s="1"/>
  <c r="L306" i="15"/>
  <c r="N306" i="15" s="1"/>
  <c r="L393" i="15"/>
  <c r="M393" i="15" s="1"/>
  <c r="AG189" i="15"/>
  <c r="AI189" i="15" s="1"/>
  <c r="L18" i="15"/>
  <c r="M18" i="15" s="1"/>
  <c r="N184" i="15"/>
  <c r="L261" i="15"/>
  <c r="N261" i="15" s="1"/>
  <c r="AG293" i="15"/>
  <c r="AI293" i="15" s="1"/>
  <c r="L19" i="15"/>
  <c r="N19" i="15" s="1"/>
  <c r="L246" i="15"/>
  <c r="N246" i="15" s="1"/>
  <c r="AG309" i="15"/>
  <c r="AI309" i="15" s="1"/>
  <c r="L270" i="15"/>
  <c r="N270" i="15" s="1"/>
  <c r="L308" i="15"/>
  <c r="M308" i="15" s="1"/>
  <c r="AG286" i="15"/>
  <c r="AH286" i="15" s="1"/>
  <c r="L186" i="15"/>
  <c r="N186" i="15" s="1"/>
  <c r="AG287" i="15"/>
  <c r="AI287" i="15" s="1"/>
  <c r="AG230" i="15"/>
  <c r="AG245" i="15"/>
  <c r="L102" i="15"/>
  <c r="N102" i="15" s="1"/>
  <c r="AG146" i="15"/>
  <c r="AH146" i="15" s="1"/>
  <c r="L32" i="15"/>
  <c r="N32" i="15" s="1"/>
  <c r="L76" i="15"/>
  <c r="L284" i="15"/>
  <c r="M284" i="15" s="1"/>
  <c r="L313" i="15"/>
  <c r="M313" i="15" s="1"/>
  <c r="L481" i="15"/>
  <c r="L489" i="15"/>
  <c r="AG75" i="15"/>
  <c r="AH75" i="15" s="1"/>
  <c r="AG150" i="15"/>
  <c r="AI150" i="15" s="1"/>
  <c r="L33" i="15"/>
  <c r="N33" i="15" s="1"/>
  <c r="L62" i="15"/>
  <c r="N62" i="15" s="1"/>
  <c r="L91" i="15"/>
  <c r="N91" i="15" s="1"/>
  <c r="L221" i="15"/>
  <c r="L253" i="15"/>
  <c r="N253" i="15" s="1"/>
  <c r="L277" i="15"/>
  <c r="N277" i="15" s="1"/>
  <c r="L285" i="15"/>
  <c r="N285" i="15" s="1"/>
  <c r="L358" i="15"/>
  <c r="M358" i="15" s="1"/>
  <c r="L482" i="15"/>
  <c r="N482" i="15" s="1"/>
  <c r="L351" i="15"/>
  <c r="M351" i="15" s="1"/>
  <c r="AG285" i="15"/>
  <c r="AI285" i="15" s="1"/>
  <c r="L293" i="15"/>
  <c r="N293" i="15" s="1"/>
  <c r="L409" i="15"/>
  <c r="M409" i="15" s="1"/>
  <c r="AG294" i="15"/>
  <c r="AI294" i="15" s="1"/>
  <c r="L215" i="15"/>
  <c r="N215" i="15" s="1"/>
  <c r="AG29" i="15"/>
  <c r="AI29" i="15" s="1"/>
  <c r="L5" i="15"/>
  <c r="N5" i="15" s="1"/>
  <c r="L201" i="15"/>
  <c r="N201" i="15" s="1"/>
  <c r="AG266" i="15"/>
  <c r="AH266" i="15" s="1"/>
  <c r="AG303" i="15"/>
  <c r="L149" i="15"/>
  <c r="M149" i="15" s="1"/>
  <c r="AG79" i="15"/>
  <c r="AH79" i="15" s="1"/>
  <c r="AG123" i="15"/>
  <c r="AI123" i="15" s="1"/>
  <c r="AG138" i="15"/>
  <c r="AH138" i="15" s="1"/>
  <c r="AG170" i="15"/>
  <c r="AI170" i="15" s="1"/>
  <c r="AG193" i="15"/>
  <c r="AI193" i="15" s="1"/>
  <c r="L175" i="15"/>
  <c r="N175" i="15" s="1"/>
  <c r="L182" i="15"/>
  <c r="N182" i="15" s="1"/>
  <c r="L283" i="15"/>
  <c r="N283" i="15" s="1"/>
  <c r="L298" i="15"/>
  <c r="N298" i="15" s="1"/>
  <c r="L356" i="15"/>
  <c r="N356" i="15" s="1"/>
  <c r="L488" i="15"/>
  <c r="N488" i="15" s="1"/>
  <c r="AG50" i="15"/>
  <c r="AG57" i="15"/>
  <c r="AH57" i="15" s="1"/>
  <c r="AG105" i="15"/>
  <c r="AH105" i="15" s="1"/>
  <c r="AG118" i="15"/>
  <c r="AI118" i="15" s="1"/>
  <c r="AG218" i="15"/>
  <c r="AG225" i="15"/>
  <c r="AI225" i="15" s="1"/>
  <c r="AG158" i="15"/>
  <c r="AH158" i="15" s="1"/>
  <c r="AG166" i="15"/>
  <c r="AI166" i="15" s="1"/>
  <c r="AG174" i="15"/>
  <c r="AI174" i="15" s="1"/>
  <c r="AG240" i="15"/>
  <c r="AI240" i="15" s="1"/>
  <c r="AG247" i="15"/>
  <c r="AH247" i="15" s="1"/>
  <c r="AG282" i="15"/>
  <c r="AH282" i="15" s="1"/>
  <c r="L38" i="15"/>
  <c r="M38" i="15" s="1"/>
  <c r="L67" i="15"/>
  <c r="N67" i="15" s="1"/>
  <c r="L111" i="15"/>
  <c r="M111" i="15" s="1"/>
  <c r="L119" i="15"/>
  <c r="N119" i="15" s="1"/>
  <c r="L223" i="15"/>
  <c r="N223" i="15" s="1"/>
  <c r="L424" i="15"/>
  <c r="M424" i="15" s="1"/>
  <c r="L431" i="15"/>
  <c r="N431" i="15" s="1"/>
  <c r="L438" i="15"/>
  <c r="M438" i="15" s="1"/>
  <c r="L446" i="15"/>
  <c r="L460" i="15"/>
  <c r="M460" i="15" s="1"/>
  <c r="AG16" i="15"/>
  <c r="AH16" i="15" s="1"/>
  <c r="AG20" i="15"/>
  <c r="AI20" i="15" s="1"/>
  <c r="AG182" i="15"/>
  <c r="AI182" i="15" s="1"/>
  <c r="AG197" i="15"/>
  <c r="AG204" i="15"/>
  <c r="AI204" i="15" s="1"/>
  <c r="AG261" i="15"/>
  <c r="AI261" i="15" s="1"/>
  <c r="L9" i="15"/>
  <c r="M9" i="15" s="1"/>
  <c r="L17" i="15"/>
  <c r="M17" i="15" s="1"/>
  <c r="L104" i="15"/>
  <c r="N104" i="15" s="1"/>
  <c r="L127" i="15"/>
  <c r="M127" i="15" s="1"/>
  <c r="L150" i="15"/>
  <c r="N150" i="15" s="1"/>
  <c r="L188" i="15"/>
  <c r="M188" i="15" s="1"/>
  <c r="L202" i="15"/>
  <c r="N202" i="15" s="1"/>
  <c r="L216" i="15"/>
  <c r="L240" i="15"/>
  <c r="N240" i="15" s="1"/>
  <c r="L256" i="15"/>
  <c r="L264" i="15"/>
  <c r="L280" i="15"/>
  <c r="L302" i="15"/>
  <c r="M302" i="15" s="1"/>
  <c r="L309" i="15"/>
  <c r="L388" i="15"/>
  <c r="N388" i="15" s="1"/>
  <c r="L403" i="15"/>
  <c r="N403" i="15" s="1"/>
  <c r="AG84" i="15"/>
  <c r="AI84" i="15" s="1"/>
  <c r="AG152" i="15"/>
  <c r="AI152" i="15" s="1"/>
  <c r="AG159" i="15"/>
  <c r="AH159" i="15" s="1"/>
  <c r="AG175" i="15"/>
  <c r="AH175" i="15" s="1"/>
  <c r="AG205" i="15"/>
  <c r="AI205" i="15" s="1"/>
  <c r="AG212" i="15"/>
  <c r="AG297" i="15"/>
  <c r="AG305" i="15"/>
  <c r="AH305" i="15" s="1"/>
  <c r="L105" i="15"/>
  <c r="N105" i="15" s="1"/>
  <c r="AG60" i="15"/>
  <c r="AH60" i="15" s="1"/>
  <c r="AG90" i="15"/>
  <c r="AH90" i="15" s="1"/>
  <c r="AG108" i="15"/>
  <c r="AI108" i="15" s="1"/>
  <c r="AG115" i="15"/>
  <c r="AI115" i="15" s="1"/>
  <c r="AG144" i="15"/>
  <c r="AH144" i="15" s="1"/>
  <c r="AG168" i="15"/>
  <c r="AH168" i="15" s="1"/>
  <c r="AG227" i="15"/>
  <c r="AH227" i="15" s="1"/>
  <c r="L476" i="15"/>
  <c r="M476" i="15" s="1"/>
  <c r="AI66" i="15"/>
  <c r="AG85" i="15"/>
  <c r="AH85" i="15" s="1"/>
  <c r="AG91" i="15"/>
  <c r="AH91" i="15" s="1"/>
  <c r="AG109" i="15"/>
  <c r="AH109" i="15" s="1"/>
  <c r="AG137" i="15"/>
  <c r="AG161" i="15"/>
  <c r="AI161" i="15" s="1"/>
  <c r="AG169" i="15"/>
  <c r="AH169" i="15" s="1"/>
  <c r="AG177" i="15"/>
  <c r="AH177" i="15" s="1"/>
  <c r="AG184" i="15"/>
  <c r="AH184" i="15" s="1"/>
  <c r="AG191" i="15"/>
  <c r="AH191" i="15" s="1"/>
  <c r="AG206" i="15"/>
  <c r="AI206" i="15" s="1"/>
  <c r="L337" i="15"/>
  <c r="M337" i="15" s="1"/>
  <c r="L359" i="15"/>
  <c r="N359" i="15" s="1"/>
  <c r="L414" i="15"/>
  <c r="N414" i="15" s="1"/>
  <c r="L421" i="15"/>
  <c r="M421" i="15" s="1"/>
  <c r="L428" i="15"/>
  <c r="N428" i="15" s="1"/>
  <c r="L471" i="15"/>
  <c r="N471" i="15" s="1"/>
  <c r="L491" i="15"/>
  <c r="M491" i="15" s="1"/>
  <c r="L499" i="15"/>
  <c r="N499" i="15" s="1"/>
  <c r="AG41" i="15"/>
  <c r="AI41" i="15" s="1"/>
  <c r="AG53" i="15"/>
  <c r="AG82" i="15"/>
  <c r="AG88" i="15"/>
  <c r="AH88" i="15" s="1"/>
  <c r="AG112" i="15"/>
  <c r="AG125" i="15"/>
  <c r="AG215" i="15"/>
  <c r="AH215" i="15" s="1"/>
  <c r="AG255" i="15"/>
  <c r="AH255" i="15" s="1"/>
  <c r="AG262" i="15"/>
  <c r="AI262" i="15" s="1"/>
  <c r="L15" i="15"/>
  <c r="N15" i="15" s="1"/>
  <c r="L57" i="15"/>
  <c r="M57" i="15" s="1"/>
  <c r="L72" i="15"/>
  <c r="N72" i="15" s="1"/>
  <c r="L86" i="15"/>
  <c r="M86" i="15" s="1"/>
  <c r="L93" i="15"/>
  <c r="M93" i="15" s="1"/>
  <c r="L115" i="15"/>
  <c r="M115" i="15" s="1"/>
  <c r="L153" i="15"/>
  <c r="M153" i="15" s="1"/>
  <c r="L161" i="15"/>
  <c r="M161" i="15" s="1"/>
  <c r="L183" i="15"/>
  <c r="L233" i="15"/>
  <c r="L257" i="15"/>
  <c r="N257" i="15" s="1"/>
  <c r="L295" i="15"/>
  <c r="N295" i="15" s="1"/>
  <c r="L316" i="15"/>
  <c r="M316" i="15" s="1"/>
  <c r="L330" i="15"/>
  <c r="M330" i="15" s="1"/>
  <c r="L345" i="15"/>
  <c r="N345" i="15" s="1"/>
  <c r="L366" i="15"/>
  <c r="N366" i="15" s="1"/>
  <c r="L386" i="15"/>
  <c r="M386" i="15" s="1"/>
  <c r="L407" i="15"/>
  <c r="N407" i="15" s="1"/>
  <c r="L450" i="15"/>
  <c r="N450" i="15" s="1"/>
  <c r="AG8" i="15"/>
  <c r="AI8" i="15" s="1"/>
  <c r="AG25" i="15"/>
  <c r="AI25" i="15" s="1"/>
  <c r="AG32" i="15"/>
  <c r="AI32" i="15" s="1"/>
  <c r="AG38" i="15"/>
  <c r="AH59" i="15"/>
  <c r="AG64" i="15"/>
  <c r="AH64" i="15" s="1"/>
  <c r="AG71" i="15"/>
  <c r="AG76" i="15"/>
  <c r="AI76" i="15" s="1"/>
  <c r="AG186" i="15"/>
  <c r="AI186" i="15" s="1"/>
  <c r="AG201" i="15"/>
  <c r="AH201" i="15" s="1"/>
  <c r="AG208" i="15"/>
  <c r="AH208" i="15" s="1"/>
  <c r="AG222" i="15"/>
  <c r="AH222" i="15" s="1"/>
  <c r="AG229" i="15"/>
  <c r="AG277" i="15"/>
  <c r="AI277" i="15" s="1"/>
  <c r="AG306" i="15"/>
  <c r="AH306" i="15" s="1"/>
  <c r="AG313" i="15"/>
  <c r="AI313" i="15" s="1"/>
  <c r="L37" i="15"/>
  <c r="N37" i="15" s="1"/>
  <c r="L58" i="15"/>
  <c r="M58" i="15" s="1"/>
  <c r="L73" i="15"/>
  <c r="M73" i="15" s="1"/>
  <c r="L80" i="15"/>
  <c r="N80" i="15" s="1"/>
  <c r="L94" i="15"/>
  <c r="N94" i="15" s="1"/>
  <c r="L116" i="15"/>
  <c r="N116" i="15" s="1"/>
  <c r="L139" i="15"/>
  <c r="N139" i="15" s="1"/>
  <c r="L234" i="15"/>
  <c r="N234" i="15" s="1"/>
  <c r="L281" i="15"/>
  <c r="M281" i="15" s="1"/>
  <c r="L296" i="15"/>
  <c r="M296" i="15" s="1"/>
  <c r="L331" i="15"/>
  <c r="N331" i="15" s="1"/>
  <c r="L353" i="15"/>
  <c r="N353" i="15" s="1"/>
  <c r="L374" i="15"/>
  <c r="M374" i="15" s="1"/>
  <c r="L401" i="15"/>
  <c r="N401" i="15" s="1"/>
  <c r="L408" i="15"/>
  <c r="N408" i="15" s="1"/>
  <c r="L451" i="15"/>
  <c r="N451" i="15" s="1"/>
  <c r="L465" i="15"/>
  <c r="M465" i="15" s="1"/>
  <c r="L479" i="15"/>
  <c r="M479" i="15" s="1"/>
  <c r="AG65" i="15"/>
  <c r="AH65" i="15" s="1"/>
  <c r="AG107" i="15"/>
  <c r="AH107" i="15" s="1"/>
  <c r="AG141" i="15"/>
  <c r="AI141" i="15" s="1"/>
  <c r="AG157" i="15"/>
  <c r="AI157" i="15" s="1"/>
  <c r="AG173" i="15"/>
  <c r="AH173" i="15" s="1"/>
  <c r="AG180" i="15"/>
  <c r="AI180" i="15" s="1"/>
  <c r="AG223" i="15"/>
  <c r="AI223" i="15" s="1"/>
  <c r="AG278" i="15"/>
  <c r="AI278" i="15" s="1"/>
  <c r="AG292" i="15"/>
  <c r="AI292" i="15" s="1"/>
  <c r="AG299" i="15"/>
  <c r="AI299" i="15" s="1"/>
  <c r="AG314" i="15"/>
  <c r="AI314" i="15" s="1"/>
  <c r="AI94" i="15"/>
  <c r="AH94" i="15"/>
  <c r="AH259" i="15"/>
  <c r="AI259" i="15"/>
  <c r="AI39" i="15"/>
  <c r="AH39" i="15"/>
  <c r="AH217" i="15"/>
  <c r="AI217" i="15"/>
  <c r="AG31" i="15"/>
  <c r="AI48" i="15"/>
  <c r="AH48" i="15"/>
  <c r="AI248" i="15"/>
  <c r="AG236" i="15"/>
  <c r="AH295" i="15"/>
  <c r="AI295" i="15"/>
  <c r="AH127" i="15"/>
  <c r="AI127" i="15"/>
  <c r="AI149" i="15"/>
  <c r="AH149" i="15"/>
  <c r="AH185" i="15"/>
  <c r="AI185" i="15"/>
  <c r="AH269" i="15"/>
  <c r="AH311" i="15"/>
  <c r="AI311" i="15"/>
  <c r="AI3" i="15"/>
  <c r="AH3" i="15"/>
  <c r="AG291" i="15"/>
  <c r="AG63" i="15"/>
  <c r="AH153" i="15"/>
  <c r="AI153" i="15"/>
  <c r="AG167" i="15"/>
  <c r="AI132" i="15"/>
  <c r="AH132" i="15"/>
  <c r="AI273" i="15"/>
  <c r="AH273" i="15"/>
  <c r="AH140" i="15"/>
  <c r="AI140" i="15"/>
  <c r="AI44" i="15"/>
  <c r="AH44" i="15"/>
  <c r="AG155" i="15"/>
  <c r="AH163" i="15"/>
  <c r="AI163" i="15"/>
  <c r="AH148" i="15"/>
  <c r="AG122" i="15"/>
  <c r="AG172" i="15"/>
  <c r="AH200" i="15"/>
  <c r="AI200" i="15"/>
  <c r="AI47" i="15"/>
  <c r="AH47" i="15"/>
  <c r="AG12" i="15"/>
  <c r="AG199" i="15"/>
  <c r="AH40" i="15"/>
  <c r="AI87" i="15"/>
  <c r="AG113" i="15"/>
  <c r="AH233" i="15"/>
  <c r="AI233" i="15"/>
  <c r="AI74" i="15"/>
  <c r="AH74" i="15"/>
  <c r="AG83" i="15"/>
  <c r="AI119" i="15"/>
  <c r="AH119" i="15"/>
  <c r="AG151" i="15"/>
  <c r="AG244" i="15"/>
  <c r="AG7" i="15"/>
  <c r="AG130" i="15"/>
  <c r="AG268" i="15"/>
  <c r="AI300" i="15"/>
  <c r="AH300" i="15"/>
  <c r="AG279" i="15"/>
  <c r="AI284" i="15"/>
  <c r="AG18" i="15"/>
  <c r="AH23" i="15"/>
  <c r="AI23" i="15"/>
  <c r="AH131" i="15"/>
  <c r="AG235" i="15"/>
  <c r="AI101" i="15"/>
  <c r="AG114" i="15"/>
  <c r="AG135" i="15"/>
  <c r="AG171" i="15"/>
  <c r="AG307" i="15"/>
  <c r="AG196" i="15"/>
  <c r="AH241" i="15"/>
  <c r="AI96" i="15"/>
  <c r="AH111" i="15"/>
  <c r="AI111" i="15"/>
  <c r="AH211" i="15"/>
  <c r="AI211" i="15"/>
  <c r="AG252" i="15"/>
  <c r="AG276" i="15"/>
  <c r="AG164" i="15"/>
  <c r="AG260" i="15"/>
  <c r="AH67" i="15"/>
  <c r="AG49" i="15"/>
  <c r="AG156" i="15"/>
  <c r="AG219" i="15"/>
  <c r="AG251" i="15"/>
  <c r="AH275" i="15"/>
  <c r="AI275" i="15"/>
  <c r="AG42" i="15"/>
  <c r="AG92" i="15"/>
  <c r="AG103" i="15"/>
  <c r="AG142" i="15"/>
  <c r="AG188" i="15"/>
  <c r="AH26" i="15"/>
  <c r="AI26" i="15"/>
  <c r="AI110" i="15"/>
  <c r="AG298" i="15"/>
  <c r="AH30" i="15"/>
  <c r="AG33" i="15"/>
  <c r="AG93" i="15"/>
  <c r="AG129" i="15"/>
  <c r="AG143" i="15"/>
  <c r="AG36" i="15"/>
  <c r="AG52" i="15"/>
  <c r="AG203" i="15"/>
  <c r="AG62" i="15"/>
  <c r="AG220" i="15"/>
  <c r="AG228" i="15"/>
  <c r="AG283" i="15"/>
  <c r="AG43" i="15"/>
  <c r="AG73" i="15"/>
  <c r="AG187" i="15"/>
  <c r="AI249" i="15"/>
  <c r="M171" i="15"/>
  <c r="N171" i="15"/>
  <c r="N214" i="15"/>
  <c r="M214" i="15"/>
  <c r="N146" i="15"/>
  <c r="M146" i="15"/>
  <c r="N227" i="15"/>
  <c r="M227" i="15"/>
  <c r="M238" i="15"/>
  <c r="N238" i="15"/>
  <c r="N151" i="15"/>
  <c r="M151" i="15"/>
  <c r="N176" i="15"/>
  <c r="M176" i="15"/>
  <c r="L163" i="15"/>
  <c r="L395" i="15"/>
  <c r="L2" i="15"/>
  <c r="L180" i="15"/>
  <c r="N263" i="15"/>
  <c r="M263" i="15"/>
  <c r="L310" i="15"/>
  <c r="M3" i="15"/>
  <c r="N8" i="15"/>
  <c r="M8" i="15"/>
  <c r="L113" i="15"/>
  <c r="L158" i="15"/>
  <c r="L396" i="15"/>
  <c r="L425" i="15"/>
  <c r="L466" i="15"/>
  <c r="L4" i="15"/>
  <c r="L51" i="15"/>
  <c r="L147" i="15"/>
  <c r="L473" i="15"/>
  <c r="N160" i="15"/>
  <c r="M160" i="15"/>
  <c r="L247" i="15"/>
  <c r="L41" i="15"/>
  <c r="L126" i="15"/>
  <c r="N138" i="15"/>
  <c r="L387" i="15"/>
  <c r="L468" i="15"/>
  <c r="L206" i="15"/>
  <c r="L360" i="15"/>
  <c r="L433" i="15"/>
  <c r="L497" i="15"/>
  <c r="L16" i="15"/>
  <c r="L95" i="15"/>
  <c r="L167" i="15"/>
  <c r="L190" i="15"/>
  <c r="L377" i="15"/>
  <c r="L485" i="15"/>
  <c r="L122" i="15"/>
  <c r="L367" i="15"/>
  <c r="L411" i="15"/>
  <c r="L480" i="15"/>
  <c r="N156" i="15"/>
  <c r="M156" i="15"/>
  <c r="L85" i="15"/>
  <c r="L59" i="15"/>
  <c r="L192" i="15"/>
  <c r="L203" i="15"/>
  <c r="M142" i="15"/>
  <c r="L271" i="15"/>
  <c r="L329" i="15"/>
  <c r="L419" i="15"/>
  <c r="L495" i="15"/>
  <c r="L341" i="15"/>
  <c r="L449" i="15"/>
  <c r="L496" i="15"/>
  <c r="L10" i="15"/>
  <c r="M278" i="15"/>
  <c r="L21" i="15"/>
  <c r="L242" i="15"/>
  <c r="L462" i="15"/>
  <c r="L63" i="15"/>
  <c r="L84" i="15"/>
  <c r="L162" i="15"/>
  <c r="L231" i="15"/>
  <c r="L243" i="15"/>
  <c r="L349" i="15"/>
  <c r="L486" i="15"/>
  <c r="L12" i="15"/>
  <c r="L29" i="15"/>
  <c r="L100" i="15"/>
  <c r="N187" i="15"/>
  <c r="M187" i="15"/>
  <c r="L219" i="15"/>
  <c r="L279" i="15"/>
  <c r="L327" i="15"/>
  <c r="L402" i="15"/>
  <c r="L445" i="15"/>
  <c r="L454" i="15"/>
  <c r="L87" i="15"/>
  <c r="L265" i="15"/>
  <c r="L299" i="15"/>
  <c r="L198" i="15"/>
  <c r="L235" i="15"/>
  <c r="L470" i="15"/>
  <c r="L493" i="15"/>
  <c r="L258" i="15"/>
  <c r="L435" i="15"/>
  <c r="L477" i="15"/>
  <c r="L34" i="15"/>
  <c r="L168" i="15"/>
  <c r="L224" i="15"/>
  <c r="L269" i="15"/>
  <c r="L303" i="15"/>
  <c r="L229" i="15"/>
  <c r="L96" i="15"/>
  <c r="L92" i="15"/>
  <c r="L26" i="15"/>
  <c r="L61" i="15"/>
  <c r="N276" i="15"/>
  <c r="M276" i="15"/>
  <c r="L352" i="15"/>
  <c r="L384" i="15"/>
  <c r="L427" i="15"/>
  <c r="L350" i="15"/>
  <c r="L77" i="15"/>
  <c r="L107" i="15"/>
  <c r="L212" i="15"/>
  <c r="L251" i="15"/>
  <c r="L287" i="15"/>
  <c r="N315" i="15"/>
  <c r="M315" i="15"/>
  <c r="L400" i="15"/>
  <c r="L323" i="15"/>
  <c r="L45" i="15"/>
  <c r="L173" i="15"/>
  <c r="L412" i="15"/>
  <c r="L478" i="15"/>
  <c r="L74" i="15"/>
  <c r="L108" i="15"/>
  <c r="L205" i="15"/>
  <c r="L244" i="15"/>
  <c r="M252" i="15"/>
  <c r="L239" i="15"/>
  <c r="L13" i="15"/>
  <c r="L97" i="15"/>
  <c r="L157" i="15"/>
  <c r="L169" i="15"/>
  <c r="L320" i="15"/>
  <c r="L340" i="15"/>
  <c r="L397" i="15"/>
  <c r="L413" i="15"/>
  <c r="L440" i="15"/>
  <c r="L336" i="15"/>
  <c r="L381" i="15"/>
  <c r="L464" i="15"/>
  <c r="L124" i="15"/>
  <c r="L255" i="15"/>
  <c r="N294" i="15"/>
  <c r="L416" i="15"/>
  <c r="L461" i="15"/>
  <c r="M237" i="15" l="1"/>
  <c r="AH22" i="15"/>
  <c r="AH304" i="15"/>
  <c r="AH288" i="15"/>
  <c r="AI70" i="15"/>
  <c r="M7" i="15"/>
  <c r="M361" i="15"/>
  <c r="M35" i="15"/>
  <c r="N149" i="15"/>
  <c r="M426" i="15"/>
  <c r="AI181" i="15"/>
  <c r="N89" i="15"/>
  <c r="N394" i="15"/>
  <c r="N144" i="15"/>
  <c r="M339" i="15"/>
  <c r="M24" i="15"/>
  <c r="M274" i="15"/>
  <c r="AH242" i="15"/>
  <c r="M378" i="15"/>
  <c r="AH258" i="15"/>
  <c r="M220" i="15"/>
  <c r="N191" i="15"/>
  <c r="N199" i="15"/>
  <c r="N319" i="15"/>
  <c r="M257" i="15"/>
  <c r="AI107" i="15"/>
  <c r="AH10" i="15"/>
  <c r="M390" i="15"/>
  <c r="M32" i="15"/>
  <c r="M131" i="15"/>
  <c r="M490" i="15"/>
  <c r="N125" i="15"/>
  <c r="AH290" i="15"/>
  <c r="M295" i="15"/>
  <c r="AI134" i="15"/>
  <c r="M447" i="15"/>
  <c r="AH274" i="15"/>
  <c r="N249" i="15"/>
  <c r="M48" i="15"/>
  <c r="N170" i="15"/>
  <c r="M334" i="15"/>
  <c r="AH165" i="15"/>
  <c r="AH104" i="15"/>
  <c r="M312" i="15"/>
  <c r="M382" i="15"/>
  <c r="M282" i="15"/>
  <c r="AI14" i="15"/>
  <c r="N137" i="15"/>
  <c r="M399" i="15"/>
  <c r="AI255" i="15"/>
  <c r="AH223" i="15"/>
  <c r="AH294" i="15"/>
  <c r="N71" i="15"/>
  <c r="AH221" i="15"/>
  <c r="AH256" i="15"/>
  <c r="AI80" i="15"/>
  <c r="N302" i="15"/>
  <c r="N204" i="15"/>
  <c r="N161" i="15"/>
  <c r="N60" i="15"/>
  <c r="M318" i="15"/>
  <c r="N90" i="15"/>
  <c r="M289" i="15"/>
  <c r="AI286" i="15"/>
  <c r="AI121" i="15"/>
  <c r="M11" i="15"/>
  <c r="N308" i="15"/>
  <c r="M68" i="15"/>
  <c r="N217" i="15"/>
  <c r="AH174" i="15"/>
  <c r="M64" i="15"/>
  <c r="M91" i="15"/>
  <c r="AH192" i="15"/>
  <c r="N189" i="15"/>
  <c r="AH250" i="15"/>
  <c r="M439" i="15"/>
  <c r="AI57" i="15"/>
  <c r="AH136" i="15"/>
  <c r="N268" i="15"/>
  <c r="N324" i="15"/>
  <c r="AI234" i="15"/>
  <c r="N132" i="15"/>
  <c r="N50" i="15"/>
  <c r="M365" i="15"/>
  <c r="M30" i="15"/>
  <c r="AI177" i="15"/>
  <c r="M104" i="15"/>
  <c r="M82" i="15"/>
  <c r="M359" i="15"/>
  <c r="M357" i="15"/>
  <c r="M109" i="15"/>
  <c r="M348" i="15"/>
  <c r="AI178" i="15"/>
  <c r="M209" i="15"/>
  <c r="N386" i="15"/>
  <c r="M405" i="15"/>
  <c r="M166" i="15"/>
  <c r="M408" i="15"/>
  <c r="M25" i="15"/>
  <c r="AH314" i="15"/>
  <c r="AI179" i="15"/>
  <c r="M152" i="15"/>
  <c r="AH180" i="15"/>
  <c r="AH204" i="15"/>
  <c r="N305" i="15"/>
  <c r="N316" i="15"/>
  <c r="N54" i="15"/>
  <c r="N250" i="15"/>
  <c r="AI289" i="15"/>
  <c r="AH277" i="15"/>
  <c r="N53" i="15"/>
  <c r="M420" i="15"/>
  <c r="AH299" i="15"/>
  <c r="M304" i="15"/>
  <c r="M105" i="15"/>
  <c r="AH285" i="15"/>
  <c r="AI69" i="15"/>
  <c r="M94" i="15"/>
  <c r="AH293" i="15"/>
  <c r="M291" i="15"/>
  <c r="N46" i="15"/>
  <c r="AH133" i="15"/>
  <c r="AI88" i="15"/>
  <c r="AH194" i="15"/>
  <c r="AI271" i="15"/>
  <c r="M154" i="15"/>
  <c r="M266" i="15"/>
  <c r="N448" i="15"/>
  <c r="N418" i="15"/>
  <c r="M290" i="15"/>
  <c r="M23" i="15"/>
  <c r="N392" i="15"/>
  <c r="M469" i="15"/>
  <c r="M65" i="15"/>
  <c r="AI201" i="15"/>
  <c r="AH37" i="15"/>
  <c r="AI139" i="15"/>
  <c r="M293" i="15"/>
  <c r="AI238" i="15"/>
  <c r="M174" i="15"/>
  <c r="M164" i="15"/>
  <c r="N398" i="15"/>
  <c r="M75" i="15"/>
  <c r="AH237" i="15"/>
  <c r="AI305" i="15"/>
  <c r="AI282" i="15"/>
  <c r="N31" i="15"/>
  <c r="AI239" i="15"/>
  <c r="M123" i="15"/>
  <c r="M181" i="15"/>
  <c r="M458" i="15"/>
  <c r="M20" i="15"/>
  <c r="M185" i="15"/>
  <c r="M342" i="15"/>
  <c r="M443" i="15"/>
  <c r="AH182" i="15"/>
  <c r="M328" i="15"/>
  <c r="M356" i="15"/>
  <c r="M297" i="15"/>
  <c r="AI183" i="15"/>
  <c r="AI216" i="15"/>
  <c r="M150" i="15"/>
  <c r="M345" i="15"/>
  <c r="M322" i="15"/>
  <c r="N27" i="15"/>
  <c r="AI91" i="15"/>
  <c r="AI210" i="15"/>
  <c r="N58" i="15"/>
  <c r="AI72" i="15"/>
  <c r="AI175" i="15"/>
  <c r="AI126" i="15"/>
  <c r="M201" i="15"/>
  <c r="M452" i="15"/>
  <c r="M15" i="15"/>
  <c r="AH257" i="15"/>
  <c r="AI190" i="15"/>
  <c r="M488" i="15"/>
  <c r="M277" i="15"/>
  <c r="AH56" i="15"/>
  <c r="AI146" i="15"/>
  <c r="AH206" i="15"/>
  <c r="AI17" i="15"/>
  <c r="AI81" i="15"/>
  <c r="AH198" i="15"/>
  <c r="AI310" i="15"/>
  <c r="M455" i="15"/>
  <c r="N38" i="15"/>
  <c r="N197" i="15"/>
  <c r="M463" i="15"/>
  <c r="M388" i="15"/>
  <c r="M67" i="15"/>
  <c r="N337" i="15"/>
  <c r="N465" i="15"/>
  <c r="M487" i="15"/>
  <c r="M129" i="15"/>
  <c r="AH313" i="15"/>
  <c r="AH34" i="15"/>
  <c r="AH202" i="15"/>
  <c r="AH162" i="15"/>
  <c r="AH11" i="15"/>
  <c r="AH226" i="15"/>
  <c r="AH207" i="15"/>
  <c r="M354" i="15"/>
  <c r="N86" i="15"/>
  <c r="M482" i="15"/>
  <c r="M406" i="15"/>
  <c r="N375" i="15"/>
  <c r="N383" i="15"/>
  <c r="M314" i="15"/>
  <c r="M401" i="15"/>
  <c r="M103" i="15"/>
  <c r="M37" i="15"/>
  <c r="AI243" i="15"/>
  <c r="N351" i="15"/>
  <c r="AI116" i="15"/>
  <c r="AH2" i="15"/>
  <c r="M248" i="15"/>
  <c r="M389" i="15"/>
  <c r="N272" i="15"/>
  <c r="AI265" i="15"/>
  <c r="N335" i="15"/>
  <c r="M245" i="15"/>
  <c r="M275" i="15"/>
  <c r="M307" i="15"/>
  <c r="M194" i="15"/>
  <c r="N436" i="15"/>
  <c r="N14" i="15"/>
  <c r="M44" i="15"/>
  <c r="M195" i="15"/>
  <c r="M442" i="15"/>
  <c r="M321" i="15"/>
  <c r="M106" i="15"/>
  <c r="AH28" i="15"/>
  <c r="AI65" i="15"/>
  <c r="AI270" i="15"/>
  <c r="AI45" i="15"/>
  <c r="M362" i="15"/>
  <c r="M451" i="15"/>
  <c r="M346" i="15"/>
  <c r="N371" i="15"/>
  <c r="M483" i="15"/>
  <c r="M379" i="15"/>
  <c r="M112" i="15"/>
  <c r="M467" i="15"/>
  <c r="M286" i="15"/>
  <c r="N358" i="15"/>
  <c r="N438" i="15"/>
  <c r="M415" i="15"/>
  <c r="AH278" i="15"/>
  <c r="AH205" i="15"/>
  <c r="AH213" i="15"/>
  <c r="AI195" i="15"/>
  <c r="M259" i="15"/>
  <c r="N479" i="15"/>
  <c r="N457" i="15"/>
  <c r="M376" i="15"/>
  <c r="M430" i="15"/>
  <c r="N241" i="15"/>
  <c r="M133" i="15"/>
  <c r="AH128" i="15"/>
  <c r="AH25" i="15"/>
  <c r="AH32" i="15"/>
  <c r="AH292" i="15"/>
  <c r="N437" i="15"/>
  <c r="M232" i="15"/>
  <c r="AI54" i="15"/>
  <c r="N141" i="15"/>
  <c r="M141" i="15"/>
  <c r="AH27" i="15"/>
  <c r="AI27" i="15"/>
  <c r="M273" i="15"/>
  <c r="AH147" i="15"/>
  <c r="AI109" i="15"/>
  <c r="AI218" i="15"/>
  <c r="AH218" i="15"/>
  <c r="M434" i="15"/>
  <c r="N434" i="15"/>
  <c r="N267" i="15"/>
  <c r="M267" i="15"/>
  <c r="M47" i="15"/>
  <c r="AI263" i="15"/>
  <c r="AI71" i="15"/>
  <c r="AH71" i="15"/>
  <c r="AH302" i="15"/>
  <c r="AI302" i="15"/>
  <c r="N120" i="15"/>
  <c r="M120" i="15"/>
  <c r="N484" i="15"/>
  <c r="M484" i="15"/>
  <c r="N317" i="15"/>
  <c r="M317" i="15"/>
  <c r="N208" i="15"/>
  <c r="N313" i="15"/>
  <c r="N76" i="15"/>
  <c r="M76" i="15"/>
  <c r="N36" i="15"/>
  <c r="M36" i="15"/>
  <c r="AI35" i="15"/>
  <c r="AH35" i="15"/>
  <c r="AI55" i="15"/>
  <c r="AH55" i="15"/>
  <c r="N380" i="15"/>
  <c r="M380" i="15"/>
  <c r="N472" i="15"/>
  <c r="M472" i="15"/>
  <c r="M177" i="15"/>
  <c r="N177" i="15"/>
  <c r="N78" i="15"/>
  <c r="M234" i="15"/>
  <c r="N196" i="15"/>
  <c r="M196" i="15"/>
  <c r="N456" i="15"/>
  <c r="M456" i="15"/>
  <c r="N88" i="15"/>
  <c r="M88" i="15"/>
  <c r="M498" i="15"/>
  <c r="N355" i="15"/>
  <c r="M39" i="15"/>
  <c r="N111" i="15"/>
  <c r="M155" i="15"/>
  <c r="M285" i="15"/>
  <c r="N374" i="15"/>
  <c r="N210" i="15"/>
  <c r="N40" i="15"/>
  <c r="AI232" i="15"/>
  <c r="AH112" i="15"/>
  <c r="AI112" i="15"/>
  <c r="AI297" i="15"/>
  <c r="AH297" i="15"/>
  <c r="N288" i="15"/>
  <c r="M140" i="15"/>
  <c r="M410" i="15"/>
  <c r="M300" i="15"/>
  <c r="M471" i="15"/>
  <c r="M391" i="15"/>
  <c r="AH123" i="15"/>
  <c r="AH115" i="15"/>
  <c r="AH100" i="15"/>
  <c r="AI79" i="15"/>
  <c r="M213" i="15"/>
  <c r="N213" i="15"/>
  <c r="N370" i="15"/>
  <c r="M370" i="15"/>
  <c r="M117" i="15"/>
  <c r="N491" i="15"/>
  <c r="M19" i="15"/>
  <c r="M98" i="15"/>
  <c r="N66" i="15"/>
  <c r="AH106" i="15"/>
  <c r="AH267" i="15"/>
  <c r="AH51" i="15"/>
  <c r="N233" i="15"/>
  <c r="M233" i="15"/>
  <c r="N264" i="15"/>
  <c r="M264" i="15"/>
  <c r="AH120" i="15"/>
  <c r="M119" i="15"/>
  <c r="N284" i="15"/>
  <c r="N79" i="15"/>
  <c r="M404" i="15"/>
  <c r="M343" i="15"/>
  <c r="M414" i="15"/>
  <c r="M135" i="15"/>
  <c r="M116" i="15"/>
  <c r="AI280" i="15"/>
  <c r="AI95" i="15"/>
  <c r="AH61" i="15"/>
  <c r="AI254" i="15"/>
  <c r="N183" i="15"/>
  <c r="M183" i="15"/>
  <c r="M256" i="15"/>
  <c r="N256" i="15"/>
  <c r="N81" i="15"/>
  <c r="M492" i="15"/>
  <c r="M136" i="15"/>
  <c r="M22" i="15"/>
  <c r="N292" i="15"/>
  <c r="M172" i="15"/>
  <c r="M80" i="15"/>
  <c r="AI266" i="15"/>
  <c r="AI145" i="15"/>
  <c r="AH13" i="15"/>
  <c r="AH225" i="15"/>
  <c r="AH58" i="15"/>
  <c r="AI24" i="15"/>
  <c r="AI53" i="15"/>
  <c r="AH53" i="15"/>
  <c r="N130" i="15"/>
  <c r="M130" i="15"/>
  <c r="AI296" i="15"/>
  <c r="M121" i="15"/>
  <c r="N121" i="15"/>
  <c r="M145" i="15"/>
  <c r="N145" i="15"/>
  <c r="N159" i="15"/>
  <c r="M159" i="15"/>
  <c r="AH209" i="15"/>
  <c r="N338" i="15"/>
  <c r="M338" i="15"/>
  <c r="AH89" i="15"/>
  <c r="AI89" i="15"/>
  <c r="N28" i="15"/>
  <c r="M28" i="15"/>
  <c r="N110" i="15"/>
  <c r="M110" i="15"/>
  <c r="AH176" i="15"/>
  <c r="M52" i="15"/>
  <c r="AH154" i="15"/>
  <c r="N481" i="15"/>
  <c r="M481" i="15"/>
  <c r="M474" i="15"/>
  <c r="N57" i="15"/>
  <c r="AH102" i="15"/>
  <c r="M246" i="15"/>
  <c r="N372" i="15"/>
  <c r="N424" i="15"/>
  <c r="M6" i="15"/>
  <c r="M99" i="15"/>
  <c r="M114" i="15"/>
  <c r="M444" i="15"/>
  <c r="AH186" i="15"/>
  <c r="AI90" i="15"/>
  <c r="AI97" i="15"/>
  <c r="AH97" i="15"/>
  <c r="M363" i="15"/>
  <c r="M143" i="15"/>
  <c r="AH309" i="15"/>
  <c r="AH160" i="15"/>
  <c r="AH125" i="15"/>
  <c r="AI125" i="15"/>
  <c r="AH303" i="15"/>
  <c r="AI303" i="15"/>
  <c r="AI19" i="15"/>
  <c r="AH19" i="15"/>
  <c r="AI253" i="15"/>
  <c r="AH253" i="15"/>
  <c r="M432" i="15"/>
  <c r="N432" i="15"/>
  <c r="M385" i="15"/>
  <c r="N236" i="15"/>
  <c r="N421" i="15"/>
  <c r="AI173" i="15"/>
  <c r="AH50" i="15"/>
  <c r="AI50" i="15"/>
  <c r="AH15" i="15"/>
  <c r="AI15" i="15"/>
  <c r="N326" i="15"/>
  <c r="M326" i="15"/>
  <c r="AH264" i="15"/>
  <c r="AI264" i="15"/>
  <c r="AI214" i="15"/>
  <c r="AH214" i="15"/>
  <c r="M347" i="15"/>
  <c r="N73" i="15"/>
  <c r="M128" i="15"/>
  <c r="AH38" i="15"/>
  <c r="AI38" i="15"/>
  <c r="AI212" i="15"/>
  <c r="AH212" i="15"/>
  <c r="N9" i="15"/>
  <c r="M178" i="15"/>
  <c r="M422" i="15"/>
  <c r="M223" i="15"/>
  <c r="AI86" i="15"/>
  <c r="AH261" i="15"/>
  <c r="AI281" i="15"/>
  <c r="N216" i="15"/>
  <c r="M216" i="15"/>
  <c r="N83" i="15"/>
  <c r="M83" i="15"/>
  <c r="N49" i="15"/>
  <c r="M49" i="15"/>
  <c r="M429" i="15"/>
  <c r="N368" i="15"/>
  <c r="AI229" i="15"/>
  <c r="AH229" i="15"/>
  <c r="M298" i="15"/>
  <c r="AH84" i="15"/>
  <c r="M230" i="15"/>
  <c r="N230" i="15"/>
  <c r="N301" i="15"/>
  <c r="N115" i="15"/>
  <c r="AI184" i="15"/>
  <c r="M175" i="15"/>
  <c r="N476" i="15"/>
  <c r="M33" i="15"/>
  <c r="AI16" i="15"/>
  <c r="M369" i="15"/>
  <c r="AI169" i="15"/>
  <c r="AI144" i="15"/>
  <c r="AI247" i="15"/>
  <c r="N489" i="15"/>
  <c r="M489" i="15"/>
  <c r="AH98" i="15"/>
  <c r="N494" i="15"/>
  <c r="M202" i="15"/>
  <c r="AI168" i="15"/>
  <c r="M5" i="15"/>
  <c r="N330" i="15"/>
  <c r="AH287" i="15"/>
  <c r="N127" i="15"/>
  <c r="AI105" i="15"/>
  <c r="AH20" i="15"/>
  <c r="AH189" i="15"/>
  <c r="AH150" i="15"/>
  <c r="AI306" i="15"/>
  <c r="AH231" i="15"/>
  <c r="AH197" i="15"/>
  <c r="AI197" i="15"/>
  <c r="N364" i="15"/>
  <c r="N18" i="15"/>
  <c r="M182" i="15"/>
  <c r="M62" i="15"/>
  <c r="M353" i="15"/>
  <c r="M253" i="15"/>
  <c r="M102" i="15"/>
  <c r="M260" i="15"/>
  <c r="M450" i="15"/>
  <c r="N93" i="15"/>
  <c r="N207" i="15"/>
  <c r="AI191" i="15"/>
  <c r="AI301" i="15"/>
  <c r="AI9" i="15"/>
  <c r="AH8" i="15"/>
  <c r="AI137" i="15"/>
  <c r="AH137" i="15"/>
  <c r="AH152" i="15"/>
  <c r="N446" i="15"/>
  <c r="M446" i="15"/>
  <c r="M332" i="15"/>
  <c r="M215" i="15"/>
  <c r="M211" i="15"/>
  <c r="AH161" i="15"/>
  <c r="M134" i="15"/>
  <c r="N134" i="15"/>
  <c r="N228" i="15"/>
  <c r="N460" i="15"/>
  <c r="M344" i="15"/>
  <c r="M222" i="15"/>
  <c r="M283" i="15"/>
  <c r="M69" i="15"/>
  <c r="AI158" i="15"/>
  <c r="AI85" i="15"/>
  <c r="N56" i="15"/>
  <c r="M240" i="15"/>
  <c r="N188" i="15"/>
  <c r="M311" i="15"/>
  <c r="N441" i="15"/>
  <c r="M306" i="15"/>
  <c r="AI75" i="15"/>
  <c r="AI227" i="15"/>
  <c r="AH68" i="15"/>
  <c r="AH76" i="15"/>
  <c r="M459" i="15"/>
  <c r="M428" i="15"/>
  <c r="N296" i="15"/>
  <c r="N153" i="15"/>
  <c r="AH170" i="15"/>
  <c r="AH240" i="15"/>
  <c r="N309" i="15"/>
  <c r="M309" i="15"/>
  <c r="M179" i="15"/>
  <c r="N179" i="15"/>
  <c r="AI124" i="15"/>
  <c r="AH124" i="15"/>
  <c r="N393" i="15"/>
  <c r="M193" i="15"/>
  <c r="M270" i="15"/>
  <c r="M254" i="15"/>
  <c r="N218" i="15"/>
  <c r="M261" i="15"/>
  <c r="M453" i="15"/>
  <c r="AH312" i="15"/>
  <c r="AI138" i="15"/>
  <c r="M431" i="15"/>
  <c r="M148" i="15"/>
  <c r="N409" i="15"/>
  <c r="N262" i="15"/>
  <c r="M407" i="15"/>
  <c r="N423" i="15"/>
  <c r="AH262" i="15"/>
  <c r="AH308" i="15"/>
  <c r="AI208" i="15"/>
  <c r="AH118" i="15"/>
  <c r="AH108" i="15"/>
  <c r="AI222" i="15"/>
  <c r="AH4" i="15"/>
  <c r="AI64" i="15"/>
  <c r="AI117" i="15"/>
  <c r="AH5" i="15"/>
  <c r="N280" i="15"/>
  <c r="M280" i="15"/>
  <c r="AI99" i="15"/>
  <c r="AH99" i="15"/>
  <c r="AI245" i="15"/>
  <c r="AH245" i="15"/>
  <c r="AH272" i="15"/>
  <c r="AH41" i="15"/>
  <c r="N281" i="15"/>
  <c r="M475" i="15"/>
  <c r="N475" i="15"/>
  <c r="M331" i="15"/>
  <c r="AH166" i="15"/>
  <c r="M366" i="15"/>
  <c r="AH224" i="15"/>
  <c r="AI224" i="15"/>
  <c r="M70" i="15"/>
  <c r="M186" i="15"/>
  <c r="M139" i="15"/>
  <c r="AI60" i="15"/>
  <c r="AH6" i="15"/>
  <c r="AI215" i="15"/>
  <c r="AH193" i="15"/>
  <c r="AI82" i="15"/>
  <c r="AH82" i="15"/>
  <c r="AI46" i="15"/>
  <c r="AH46" i="15"/>
  <c r="M221" i="15"/>
  <c r="N221" i="15"/>
  <c r="AI230" i="15"/>
  <c r="AH230" i="15"/>
  <c r="AH29" i="15"/>
  <c r="AH157" i="15"/>
  <c r="M55" i="15"/>
  <c r="N17" i="15"/>
  <c r="M499" i="15"/>
  <c r="M225" i="15"/>
  <c r="M43" i="15"/>
  <c r="M403" i="15"/>
  <c r="M118" i="15"/>
  <c r="N42" i="15"/>
  <c r="M72" i="15"/>
  <c r="M325" i="15"/>
  <c r="AH141" i="15"/>
  <c r="M417" i="15"/>
  <c r="M373" i="15"/>
  <c r="AH246" i="15"/>
  <c r="AI159" i="15"/>
  <c r="AI219" i="15"/>
  <c r="AH219" i="15"/>
  <c r="AI203" i="15"/>
  <c r="AH203" i="15"/>
  <c r="AI92" i="15"/>
  <c r="AH92" i="15"/>
  <c r="AI63" i="15"/>
  <c r="AH63" i="15"/>
  <c r="AI73" i="15"/>
  <c r="AH73" i="15"/>
  <c r="AI43" i="15"/>
  <c r="AH43" i="15"/>
  <c r="AI260" i="15"/>
  <c r="AH260" i="15"/>
  <c r="AI171" i="15"/>
  <c r="AH171" i="15"/>
  <c r="AI113" i="15"/>
  <c r="AH113" i="15"/>
  <c r="AI143" i="15"/>
  <c r="AH143" i="15"/>
  <c r="AI93" i="15"/>
  <c r="AH93" i="15"/>
  <c r="AI298" i="15"/>
  <c r="AH298" i="15"/>
  <c r="AI142" i="15"/>
  <c r="AH142" i="15"/>
  <c r="AI252" i="15"/>
  <c r="AH252" i="15"/>
  <c r="AH151" i="15"/>
  <c r="AI151" i="15"/>
  <c r="AH31" i="15"/>
  <c r="AI31" i="15"/>
  <c r="AI187" i="15"/>
  <c r="AH187" i="15"/>
  <c r="AI156" i="15"/>
  <c r="AH156" i="15"/>
  <c r="AI52" i="15"/>
  <c r="AH52" i="15"/>
  <c r="AI268" i="15"/>
  <c r="AH268" i="15"/>
  <c r="AI83" i="15"/>
  <c r="AH83" i="15"/>
  <c r="AI18" i="15"/>
  <c r="AH18" i="15"/>
  <c r="AI42" i="15"/>
  <c r="AH42" i="15"/>
  <c r="AI155" i="15"/>
  <c r="AH155" i="15"/>
  <c r="AH228" i="15"/>
  <c r="AI228" i="15"/>
  <c r="AI220" i="15"/>
  <c r="AH220" i="15"/>
  <c r="AH276" i="15"/>
  <c r="AI276" i="15"/>
  <c r="AI307" i="15"/>
  <c r="AH307" i="15"/>
  <c r="AI103" i="15"/>
  <c r="AH103" i="15"/>
  <c r="AI235" i="15"/>
  <c r="AH235" i="15"/>
  <c r="AI36" i="15"/>
  <c r="AH36" i="15"/>
  <c r="AH199" i="15"/>
  <c r="AI199" i="15"/>
  <c r="AH49" i="15"/>
  <c r="AI49" i="15"/>
  <c r="AI7" i="15"/>
  <c r="AH7" i="15"/>
  <c r="AI236" i="15"/>
  <c r="AH236" i="15"/>
  <c r="AI283" i="15"/>
  <c r="AH283" i="15"/>
  <c r="AI130" i="15"/>
  <c r="AH130" i="15"/>
  <c r="AI164" i="15"/>
  <c r="AH164" i="15"/>
  <c r="AI135" i="15"/>
  <c r="AH135" i="15"/>
  <c r="AH279" i="15"/>
  <c r="AI279" i="15"/>
  <c r="AI129" i="15"/>
  <c r="AH129" i="15"/>
  <c r="AI114" i="15"/>
  <c r="AH114" i="15"/>
  <c r="AI188" i="15"/>
  <c r="AH188" i="15"/>
  <c r="AI244" i="15"/>
  <c r="AH244" i="15"/>
  <c r="AI172" i="15"/>
  <c r="AH172" i="15"/>
  <c r="AI62" i="15"/>
  <c r="AH62" i="15"/>
  <c r="AI12" i="15"/>
  <c r="AH12" i="15"/>
  <c r="AI122" i="15"/>
  <c r="AH122" i="15"/>
  <c r="AI291" i="15"/>
  <c r="AH291" i="15"/>
  <c r="AI33" i="15"/>
  <c r="AH33" i="15"/>
  <c r="AI251" i="15"/>
  <c r="AH251" i="15"/>
  <c r="AI196" i="15"/>
  <c r="AH196" i="15"/>
  <c r="AH167" i="15"/>
  <c r="AI167" i="15"/>
  <c r="M320" i="15"/>
  <c r="N320" i="15"/>
  <c r="M323" i="15"/>
  <c r="N323" i="15"/>
  <c r="M480" i="15"/>
  <c r="N480" i="15"/>
  <c r="M461" i="15"/>
  <c r="N461" i="15"/>
  <c r="M229" i="15"/>
  <c r="N229" i="15"/>
  <c r="N303" i="15"/>
  <c r="M303" i="15"/>
  <c r="N97" i="15"/>
  <c r="M97" i="15"/>
  <c r="N265" i="15"/>
  <c r="M265" i="15"/>
  <c r="N419" i="15"/>
  <c r="M419" i="15"/>
  <c r="N41" i="15"/>
  <c r="M41" i="15"/>
  <c r="N13" i="15"/>
  <c r="M13" i="15"/>
  <c r="N224" i="15"/>
  <c r="M224" i="15"/>
  <c r="N329" i="15"/>
  <c r="M329" i="15"/>
  <c r="N192" i="15"/>
  <c r="M192" i="15"/>
  <c r="N2" i="15"/>
  <c r="M2" i="15"/>
  <c r="N239" i="15"/>
  <c r="M239" i="15"/>
  <c r="N258" i="15"/>
  <c r="M258" i="15"/>
  <c r="N381" i="15"/>
  <c r="M381" i="15"/>
  <c r="N493" i="15"/>
  <c r="M493" i="15"/>
  <c r="M95" i="15"/>
  <c r="N95" i="15"/>
  <c r="N247" i="15"/>
  <c r="M247" i="15"/>
  <c r="M336" i="15"/>
  <c r="N336" i="15"/>
  <c r="N287" i="15"/>
  <c r="M287" i="15"/>
  <c r="N470" i="15"/>
  <c r="M470" i="15"/>
  <c r="N454" i="15"/>
  <c r="M454" i="15"/>
  <c r="N231" i="15"/>
  <c r="M231" i="15"/>
  <c r="M163" i="15"/>
  <c r="N163" i="15"/>
  <c r="M244" i="15"/>
  <c r="N244" i="15"/>
  <c r="N445" i="15"/>
  <c r="M445" i="15"/>
  <c r="N100" i="15"/>
  <c r="M100" i="15"/>
  <c r="N377" i="15"/>
  <c r="M377" i="15"/>
  <c r="N360" i="15"/>
  <c r="M360" i="15"/>
  <c r="M205" i="15"/>
  <c r="N205" i="15"/>
  <c r="M251" i="15"/>
  <c r="N251" i="15"/>
  <c r="N34" i="15"/>
  <c r="M34" i="15"/>
  <c r="N29" i="15"/>
  <c r="M29" i="15"/>
  <c r="M395" i="15"/>
  <c r="N395" i="15"/>
  <c r="N440" i="15"/>
  <c r="M440" i="15"/>
  <c r="M108" i="15"/>
  <c r="N108" i="15"/>
  <c r="M212" i="15"/>
  <c r="N212" i="15"/>
  <c r="N96" i="15"/>
  <c r="M96" i="15"/>
  <c r="N477" i="15"/>
  <c r="M477" i="15"/>
  <c r="N87" i="15"/>
  <c r="M87" i="15"/>
  <c r="M402" i="15"/>
  <c r="N402" i="15"/>
  <c r="N12" i="15"/>
  <c r="M12" i="15"/>
  <c r="N341" i="15"/>
  <c r="M341" i="15"/>
  <c r="N51" i="15"/>
  <c r="M51" i="15"/>
  <c r="N158" i="15"/>
  <c r="M158" i="15"/>
  <c r="M397" i="15"/>
  <c r="N397" i="15"/>
  <c r="M74" i="15"/>
  <c r="N74" i="15"/>
  <c r="N45" i="15"/>
  <c r="M45" i="15"/>
  <c r="N77" i="15"/>
  <c r="M77" i="15"/>
  <c r="N61" i="15"/>
  <c r="M61" i="15"/>
  <c r="N327" i="15"/>
  <c r="M327" i="15"/>
  <c r="N162" i="15"/>
  <c r="M162" i="15"/>
  <c r="N206" i="15"/>
  <c r="M206" i="15"/>
  <c r="M340" i="15"/>
  <c r="N340" i="15"/>
  <c r="M350" i="15"/>
  <c r="N350" i="15"/>
  <c r="M26" i="15"/>
  <c r="N26" i="15"/>
  <c r="N462" i="15"/>
  <c r="M462" i="15"/>
  <c r="N85" i="15"/>
  <c r="M85" i="15"/>
  <c r="N126" i="15"/>
  <c r="M126" i="15"/>
  <c r="N4" i="15"/>
  <c r="M4" i="15"/>
  <c r="M113" i="15"/>
  <c r="N113" i="15"/>
  <c r="N279" i="15"/>
  <c r="M279" i="15"/>
  <c r="N122" i="15"/>
  <c r="M122" i="15"/>
  <c r="N466" i="15"/>
  <c r="M466" i="15"/>
  <c r="M310" i="15"/>
  <c r="N310" i="15"/>
  <c r="M468" i="15"/>
  <c r="N468" i="15"/>
  <c r="M416" i="15"/>
  <c r="N416" i="15"/>
  <c r="M478" i="15"/>
  <c r="N478" i="15"/>
  <c r="N427" i="15"/>
  <c r="M427" i="15"/>
  <c r="N235" i="15"/>
  <c r="M235" i="15"/>
  <c r="N349" i="15"/>
  <c r="M349" i="15"/>
  <c r="N495" i="15"/>
  <c r="M495" i="15"/>
  <c r="N411" i="15"/>
  <c r="M411" i="15"/>
  <c r="N485" i="15"/>
  <c r="M485" i="15"/>
  <c r="N387" i="15"/>
  <c r="M387" i="15"/>
  <c r="N169" i="15"/>
  <c r="M169" i="15"/>
  <c r="M384" i="15"/>
  <c r="N384" i="15"/>
  <c r="N92" i="15"/>
  <c r="M92" i="15"/>
  <c r="M198" i="15"/>
  <c r="N198" i="15"/>
  <c r="M84" i="15"/>
  <c r="N84" i="15"/>
  <c r="N367" i="15"/>
  <c r="M367" i="15"/>
  <c r="M190" i="15"/>
  <c r="N190" i="15"/>
  <c r="M425" i="15"/>
  <c r="N425" i="15"/>
  <c r="N180" i="15"/>
  <c r="M180" i="15"/>
  <c r="M255" i="15"/>
  <c r="N255" i="15"/>
  <c r="M157" i="15"/>
  <c r="N157" i="15"/>
  <c r="N299" i="15"/>
  <c r="M299" i="15"/>
  <c r="M242" i="15"/>
  <c r="N242" i="15"/>
  <c r="M10" i="15"/>
  <c r="N10" i="15"/>
  <c r="M167" i="15"/>
  <c r="N167" i="15"/>
  <c r="N497" i="15"/>
  <c r="M497" i="15"/>
  <c r="N396" i="15"/>
  <c r="M396" i="15"/>
  <c r="M124" i="15"/>
  <c r="N124" i="15"/>
  <c r="M400" i="15"/>
  <c r="N400" i="15"/>
  <c r="N269" i="15"/>
  <c r="M269" i="15"/>
  <c r="N219" i="15"/>
  <c r="M219" i="15"/>
  <c r="M496" i="15"/>
  <c r="N496" i="15"/>
  <c r="M203" i="15"/>
  <c r="N203" i="15"/>
  <c r="N412" i="15"/>
  <c r="M412" i="15"/>
  <c r="M352" i="15"/>
  <c r="N352" i="15"/>
  <c r="N433" i="15"/>
  <c r="M433" i="15"/>
  <c r="M464" i="15"/>
  <c r="N464" i="15"/>
  <c r="N63" i="15"/>
  <c r="M63" i="15"/>
  <c r="N59" i="15"/>
  <c r="M59" i="15"/>
  <c r="N243" i="15"/>
  <c r="M243" i="15"/>
  <c r="M449" i="15"/>
  <c r="N449" i="15"/>
  <c r="N168" i="15"/>
  <c r="M168" i="15"/>
  <c r="N271" i="15"/>
  <c r="M271" i="15"/>
  <c r="M147" i="15"/>
  <c r="N147" i="15"/>
  <c r="M173" i="15"/>
  <c r="N173" i="15"/>
  <c r="M473" i="15"/>
  <c r="N473" i="15"/>
  <c r="N413" i="15"/>
  <c r="M413" i="15"/>
  <c r="M107" i="15"/>
  <c r="N107" i="15"/>
  <c r="N435" i="15"/>
  <c r="M435" i="15"/>
  <c r="N486" i="15"/>
  <c r="M486" i="15"/>
  <c r="N21" i="15"/>
  <c r="M21" i="15"/>
  <c r="N16" i="15"/>
  <c r="M16" i="15"/>
  <c r="D57" i="13" l="1" a="1"/>
  <c r="D57" i="13" s="1"/>
  <c r="N14" i="12"/>
  <c r="E14" i="12"/>
  <c r="N13" i="12"/>
  <c r="E13" i="12"/>
  <c r="N12" i="12"/>
  <c r="E12" i="12"/>
  <c r="N11" i="12"/>
  <c r="E11" i="12"/>
  <c r="N10" i="12"/>
  <c r="E10" i="12"/>
  <c r="N9" i="12"/>
  <c r="E9" i="12"/>
  <c r="N8" i="12"/>
  <c r="E8" i="12"/>
  <c r="N7" i="12"/>
  <c r="E7" i="12"/>
  <c r="N6" i="12"/>
  <c r="E6" i="12"/>
  <c r="N5" i="12"/>
  <c r="E5" i="12"/>
  <c r="N4" i="12"/>
  <c r="E4" i="12"/>
  <c r="N3" i="12"/>
  <c r="E3" i="12"/>
  <c r="N2" i="12"/>
  <c r="E2" i="12"/>
  <c r="N14" i="11"/>
  <c r="N13" i="11"/>
  <c r="N12" i="11"/>
  <c r="N11" i="11"/>
  <c r="N10" i="11"/>
  <c r="N9" i="11"/>
  <c r="N8" i="11"/>
  <c r="N7" i="11"/>
  <c r="N6" i="11"/>
  <c r="N5" i="11"/>
  <c r="N4" i="11"/>
  <c r="N3" i="11"/>
  <c r="N2" i="11"/>
  <c r="E14" i="11"/>
  <c r="E13" i="11"/>
  <c r="E12" i="11"/>
  <c r="E11" i="11"/>
  <c r="E10" i="11"/>
  <c r="E9" i="11"/>
  <c r="E8" i="11"/>
  <c r="E7" i="11"/>
  <c r="E6" i="11"/>
  <c r="E5" i="11"/>
  <c r="E4" i="11"/>
  <c r="E3" i="11"/>
  <c r="E2" i="11"/>
  <c r="E16" i="10"/>
  <c r="E2" i="10"/>
  <c r="E3" i="10"/>
  <c r="E4" i="10"/>
  <c r="E5" i="10"/>
  <c r="E6" i="10"/>
  <c r="E7" i="10"/>
  <c r="E8" i="10"/>
  <c r="E9" i="10"/>
  <c r="E10" i="10"/>
  <c r="E11" i="10"/>
  <c r="E12" i="10"/>
  <c r="E13" i="10"/>
  <c r="E14" i="10"/>
  <c r="E15" i="10"/>
  <c r="L15" i="10"/>
  <c r="L3" i="10"/>
  <c r="L4" i="10"/>
  <c r="L5" i="10"/>
  <c r="L6" i="10"/>
  <c r="L7" i="10"/>
  <c r="L8" i="10"/>
  <c r="L9" i="10"/>
  <c r="L10" i="10"/>
  <c r="L11" i="10"/>
  <c r="L12" i="10"/>
  <c r="L13" i="10"/>
  <c r="L14" i="10"/>
  <c r="L2" i="10"/>
  <c r="E47" i="7"/>
  <c r="E48" i="7"/>
  <c r="E49" i="7"/>
  <c r="E50" i="7"/>
  <c r="E51" i="7"/>
  <c r="E52" i="7"/>
  <c r="E53" i="7"/>
  <c r="E54" i="7"/>
  <c r="E55" i="7"/>
  <c r="E46" i="7"/>
  <c r="E28" i="7"/>
  <c r="E29" i="7"/>
  <c r="E30" i="7"/>
  <c r="E31" i="7"/>
  <c r="E32" i="7"/>
  <c r="E33" i="7"/>
  <c r="E34" i="7"/>
  <c r="E35" i="7"/>
  <c r="E36" i="7"/>
  <c r="E27" i="7"/>
  <c r="H3" i="7"/>
  <c r="H4" i="7"/>
  <c r="H5" i="7"/>
  <c r="H6" i="7"/>
  <c r="H7" i="7"/>
  <c r="H8" i="7"/>
  <c r="H9" i="7"/>
  <c r="H10" i="7"/>
  <c r="H11" i="7"/>
  <c r="H12" i="7"/>
  <c r="I3" i="7"/>
  <c r="J3" i="7"/>
  <c r="K3" i="7"/>
  <c r="L3" i="7"/>
  <c r="M3" i="7"/>
  <c r="I4" i="7"/>
  <c r="J4" i="7"/>
  <c r="K4" i="7"/>
  <c r="L4" i="7"/>
  <c r="M4" i="7"/>
  <c r="I5" i="7"/>
  <c r="J5" i="7"/>
  <c r="K5" i="7"/>
  <c r="L5" i="7"/>
  <c r="M5" i="7"/>
  <c r="I6" i="7"/>
  <c r="J6" i="7"/>
  <c r="K6" i="7"/>
  <c r="L6" i="7"/>
  <c r="M6" i="7"/>
  <c r="I7" i="7"/>
  <c r="J7" i="7"/>
  <c r="K7" i="7"/>
  <c r="L7" i="7"/>
  <c r="M7" i="7"/>
  <c r="I8" i="7"/>
  <c r="J8" i="7"/>
  <c r="K8" i="7"/>
  <c r="L8" i="7"/>
  <c r="M8" i="7"/>
  <c r="I9" i="7"/>
  <c r="J9" i="7"/>
  <c r="K9" i="7"/>
  <c r="L9" i="7"/>
  <c r="M9" i="7"/>
  <c r="I10" i="7"/>
  <c r="J10" i="7"/>
  <c r="K10" i="7"/>
  <c r="L10" i="7"/>
  <c r="M10" i="7"/>
  <c r="I11" i="7"/>
  <c r="J11" i="7"/>
  <c r="K11" i="7"/>
  <c r="L11" i="7"/>
  <c r="M11" i="7"/>
  <c r="I12" i="7"/>
  <c r="J12" i="7"/>
  <c r="K12" i="7"/>
  <c r="L12" i="7"/>
  <c r="M12" i="7"/>
  <c r="G3" i="7"/>
  <c r="G4" i="7"/>
  <c r="G5" i="7"/>
  <c r="G6" i="7"/>
  <c r="G7" i="7"/>
  <c r="G8" i="7"/>
  <c r="G9" i="7"/>
  <c r="G10" i="7"/>
  <c r="G11" i="7"/>
  <c r="G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tannu singhal</author>
  </authors>
  <commentList>
    <comment ref="X7" authorId="0" shapeId="0" xr:uid="{9C54D7A0-90A7-4925-BEC7-396460CB4C68}">
      <text>
        <r>
          <rPr>
            <b/>
            <sz val="10"/>
            <color indexed="81"/>
            <rFont val="Tahoma"/>
            <family val="2"/>
          </rPr>
          <t>tannu singhal:</t>
        </r>
        <r>
          <rPr>
            <sz val="10"/>
            <color indexed="81"/>
            <rFont val="Tahoma"/>
            <family val="2"/>
          </rPr>
          <t xml:space="preserve">
asihdchbianc</t>
        </r>
      </text>
    </comment>
    <comment ref="E11" authorId="0" shapeId="0" xr:uid="{01857D1C-10CB-4F53-BBCC-5248B76963DB}">
      <text>
        <r>
          <rPr>
            <b/>
            <sz val="10"/>
            <color indexed="81"/>
            <rFont val="Tahoma"/>
            <family val="2"/>
          </rPr>
          <t>tannu singhal:</t>
        </r>
        <r>
          <rPr>
            <sz val="10"/>
            <color indexed="81"/>
            <rFont val="Tahoma"/>
            <family val="2"/>
          </rPr>
          <t xml:space="preserve">
jdiojdka</t>
        </r>
      </text>
    </comment>
    <comment ref="J15" authorId="0" shapeId="0" xr:uid="{51C49E2F-6053-41F6-A44C-0FF40B64D141}">
      <text>
        <r>
          <rPr>
            <b/>
            <sz val="10"/>
            <color indexed="81"/>
            <rFont val="Tahoma"/>
            <family val="2"/>
          </rPr>
          <t>tannu singhal:</t>
        </r>
        <r>
          <rPr>
            <sz val="10"/>
            <color indexed="81"/>
            <rFont val="Tahoma"/>
            <family val="2"/>
          </rPr>
          <t xml:space="preserve">
hduasdhua
</t>
        </r>
      </text>
    </comment>
    <comment ref="C23" authorId="0" shapeId="0" xr:uid="{390B1A0A-4C74-4FC6-AA0C-A9B2BD1877A9}">
      <text>
        <r>
          <rPr>
            <b/>
            <sz val="10"/>
            <color indexed="81"/>
            <rFont val="Tahoma"/>
            <family val="2"/>
          </rPr>
          <t>tannu singhal:</t>
        </r>
        <r>
          <rPr>
            <sz val="10"/>
            <color indexed="81"/>
            <rFont val="Tahoma"/>
            <family val="2"/>
          </rPr>
          <t xml:space="preserve">
asihdchbianc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tannu singhal</author>
  </authors>
  <commentList>
    <comment ref="T5" authorId="0" shapeId="0" xr:uid="{548F3969-5191-4765-B4AA-3A9C431B951D}">
      <text>
        <r>
          <rPr>
            <b/>
            <sz val="10"/>
            <color indexed="81"/>
            <rFont val="Tahoma"/>
            <family val="2"/>
          </rPr>
          <t>tannu singhal:</t>
        </r>
        <r>
          <rPr>
            <sz val="10"/>
            <color indexed="81"/>
            <rFont val="Tahoma"/>
            <family val="2"/>
          </rPr>
          <t xml:space="preserve">
ifefnjen</t>
        </r>
      </text>
    </comment>
    <comment ref="L10" authorId="0" shapeId="0" xr:uid="{7CFAA4CB-74A4-4F7E-A377-67FEB8CF45D2}">
      <text>
        <r>
          <rPr>
            <b/>
            <sz val="10"/>
            <color indexed="81"/>
            <rFont val="Tahoma"/>
            <family val="2"/>
          </rPr>
          <t>tannu singhal:</t>
        </r>
        <r>
          <rPr>
            <sz val="10"/>
            <color indexed="81"/>
            <rFont val="Tahoma"/>
            <family val="2"/>
          </rPr>
          <t xml:space="preserve">
hisdjdc</t>
        </r>
      </text>
    </comment>
    <comment ref="U10" authorId="0" shapeId="0" xr:uid="{9A239F42-3992-4A73-892B-EF53E307D513}">
      <text>
        <r>
          <rPr>
            <b/>
            <sz val="10"/>
            <color indexed="81"/>
            <rFont val="Tahoma"/>
            <family val="2"/>
          </rPr>
          <t>tannu singhal:</t>
        </r>
        <r>
          <rPr>
            <sz val="10"/>
            <color indexed="81"/>
            <rFont val="Tahoma"/>
            <family val="2"/>
          </rPr>
          <t xml:space="preserve">
hisdjdc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<sst xmlns="http://schemas.openxmlformats.org/spreadsheetml/2006/main" count="7612" uniqueCount="349">
  <si>
    <t>Afroj Ali</t>
  </si>
  <si>
    <t>S No</t>
  </si>
  <si>
    <t>Name</t>
  </si>
  <si>
    <t>Sales</t>
  </si>
  <si>
    <t xml:space="preserve">Prince </t>
  </si>
  <si>
    <t>RAHUL</t>
  </si>
  <si>
    <t>Amar</t>
  </si>
  <si>
    <t>shivam</t>
  </si>
  <si>
    <t>Sakil</t>
  </si>
  <si>
    <t>Rohan</t>
  </si>
  <si>
    <t>Ali</t>
  </si>
  <si>
    <t>Raquib</t>
  </si>
  <si>
    <t>REFERANCE NO</t>
  </si>
  <si>
    <t>INVOICE DATE</t>
  </si>
  <si>
    <t>PARTY A/C NAME</t>
  </si>
  <si>
    <t>NAME OF ITEM</t>
  </si>
  <si>
    <t>QUANTITY</t>
  </si>
  <si>
    <t>RATE</t>
  </si>
  <si>
    <t>AMOUNT</t>
  </si>
  <si>
    <t>A Construction Company</t>
  </si>
  <si>
    <t>Bourbon 50+10G 120PK PROMO</t>
  </si>
  <si>
    <t>Alpha India Pvt Ltd.</t>
  </si>
  <si>
    <t>Butter rusk 183+17G 32PK</t>
  </si>
  <si>
    <t>B2C Sales Delhi</t>
  </si>
  <si>
    <t>CAKE CHOC MUFFILL 15G 168PK CBB</t>
  </si>
  <si>
    <t>B2C Sales Gujarat</t>
  </si>
  <si>
    <t>MARIEGOLD 400G 15PK CBB EAST NL</t>
  </si>
  <si>
    <t>NC DIGESTIVE 100% ATTA 250G 40PK Rs 65</t>
  </si>
  <si>
    <t>i</t>
  </si>
  <si>
    <t>REFERANCE</t>
  </si>
  <si>
    <t>INNVOICE DATE</t>
  </si>
  <si>
    <t>NAEM OF ITEMS</t>
  </si>
  <si>
    <t>Sales Report</t>
  </si>
  <si>
    <t xml:space="preserve">                                                                                                          Capagemini limited</t>
  </si>
  <si>
    <t>Amar kumar mehta</t>
  </si>
  <si>
    <t>Amar
kumar</t>
  </si>
  <si>
    <t>S NO</t>
  </si>
  <si>
    <t>Student Name</t>
  </si>
  <si>
    <t xml:space="preserve">Hindi </t>
  </si>
  <si>
    <t>English</t>
  </si>
  <si>
    <t>Maths</t>
  </si>
  <si>
    <t>Science</t>
  </si>
  <si>
    <t>Total</t>
  </si>
  <si>
    <t>Aarav Sharma</t>
  </si>
  <si>
    <t>Priya Verma</t>
  </si>
  <si>
    <t>Rohan Iyer</t>
  </si>
  <si>
    <t>Kavya Patel</t>
  </si>
  <si>
    <t>Aditya Mehta</t>
  </si>
  <si>
    <t>Sneha Nair</t>
  </si>
  <si>
    <t>Vikram Malhotra</t>
  </si>
  <si>
    <t>Ananya Joshi</t>
  </si>
  <si>
    <t>Rajat Bansal</t>
  </si>
  <si>
    <t>Neha Kapoor</t>
  </si>
  <si>
    <t>SUM</t>
  </si>
  <si>
    <t>Reamaing</t>
  </si>
  <si>
    <t xml:space="preserve">Multiply </t>
  </si>
  <si>
    <t>Party Name</t>
  </si>
  <si>
    <t>Quantity</t>
  </si>
  <si>
    <t>Rate</t>
  </si>
  <si>
    <t>Amount</t>
  </si>
  <si>
    <t>Divide</t>
  </si>
  <si>
    <t>custom format</t>
  </si>
  <si>
    <t>2/24/2025</t>
  </si>
  <si>
    <t>24</t>
  </si>
  <si>
    <t>23</t>
  </si>
  <si>
    <t>4</t>
  </si>
  <si>
    <t>5</t>
  </si>
  <si>
    <t>2</t>
  </si>
  <si>
    <t>3</t>
  </si>
  <si>
    <t>Dates</t>
  </si>
  <si>
    <t>Party Names</t>
  </si>
  <si>
    <t xml:space="preserve">Spice Junction  </t>
  </si>
  <si>
    <t>Green Leaf Organics</t>
  </si>
  <si>
    <t>Heritage Handlooms</t>
  </si>
  <si>
    <t>Tech Gurus</t>
  </si>
  <si>
    <t>Urban Bites</t>
  </si>
  <si>
    <t>Ekta Creations</t>
  </si>
  <si>
    <t>Pristine Logistics</t>
  </si>
  <si>
    <t>Bharat Crafts</t>
  </si>
  <si>
    <t>Aqua Pure Solutions</t>
  </si>
  <si>
    <t>Innovatech Solutions</t>
  </si>
  <si>
    <t>Mystic Ayurveda</t>
  </si>
  <si>
    <t>Fusion Flavors</t>
  </si>
  <si>
    <t>Stellar Realty</t>
  </si>
  <si>
    <t>skill valey</t>
  </si>
  <si>
    <t>eujew</t>
  </si>
  <si>
    <t>enjoy</t>
  </si>
  <si>
    <t>shortcut key = alt O A</t>
  </si>
  <si>
    <t xml:space="preserve">copy of cell style </t>
  </si>
  <si>
    <t>Rahul kumar singh</t>
  </si>
  <si>
    <t>ctrl D</t>
  </si>
  <si>
    <t>ctrl R</t>
  </si>
  <si>
    <t>series</t>
  </si>
  <si>
    <t>drag</t>
  </si>
  <si>
    <t>Growth</t>
  </si>
  <si>
    <t>Date</t>
  </si>
  <si>
    <t>sequence</t>
  </si>
  <si>
    <t>date</t>
  </si>
  <si>
    <t>Category</t>
  </si>
  <si>
    <t>Product Name</t>
  </si>
  <si>
    <t>State</t>
  </si>
  <si>
    <t>Gender</t>
  </si>
  <si>
    <t>Cost</t>
  </si>
  <si>
    <t>Price</t>
  </si>
  <si>
    <t>Purchase Cost</t>
  </si>
  <si>
    <t>Sale Price</t>
  </si>
  <si>
    <t>Profit</t>
  </si>
  <si>
    <t>Status</t>
  </si>
  <si>
    <t>Horizon Wellness</t>
  </si>
  <si>
    <t>Decor</t>
  </si>
  <si>
    <t>Car accessories</t>
  </si>
  <si>
    <t>Assam</t>
  </si>
  <si>
    <t>Female</t>
  </si>
  <si>
    <t>loss</t>
  </si>
  <si>
    <t>True Value Electronics</t>
  </si>
  <si>
    <t>Punjab</t>
  </si>
  <si>
    <t>profit</t>
  </si>
  <si>
    <t>Harmony Homes Realty</t>
  </si>
  <si>
    <t>Chhattisgarh</t>
  </si>
  <si>
    <t>Stellar Advertising</t>
  </si>
  <si>
    <t>West Bengal</t>
  </si>
  <si>
    <t>Modern Trends Retail</t>
  </si>
  <si>
    <t>Madhya Pradesh</t>
  </si>
  <si>
    <t>Male</t>
  </si>
  <si>
    <t>Global Spectrum Consulting</t>
  </si>
  <si>
    <t>Jharkhand</t>
  </si>
  <si>
    <t>Apex Solutions</t>
  </si>
  <si>
    <t xml:space="preserve">Fashion </t>
  </si>
  <si>
    <t>Women dress</t>
  </si>
  <si>
    <t>Gujarat</t>
  </si>
  <si>
    <t>Radiant Vision Studios</t>
  </si>
  <si>
    <t>Home décor</t>
  </si>
  <si>
    <t>Noble Travel Services</t>
  </si>
  <si>
    <t>Uttar Pradesh</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</si>
  <si>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</si>
  <si>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</si>
  <si>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</si>
  <si>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</si>
  <si>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</si>
  <si>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</si>
  <si>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</si>
  <si>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</si>
  <si>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</si>
  <si>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</si>
  <si>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</si>
  <si>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</si>
  <si>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Bihar</t>
  </si>
  <si>
    <t>Future Path Technologies</t>
  </si>
  <si>
    <t>Elite Edge Services</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</si>
  <si>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</si>
  <si>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</si>
  <si>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</si>
  <si>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</si>
  <si>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</si>
  <si>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</si>
  <si>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</si>
  <si>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</si>
  <si>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</si>
  <si>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</si>
  <si>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</si>
  <si>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Apex Publishing House</t>
  </si>
  <si>
    <t>Delhi</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</si>
  <si>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</si>
  <si>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</si>
  <si>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</si>
  <si>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</si>
  <si>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</si>
  <si>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</si>
  <si>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</si>
  <si>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</si>
  <si>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</si>
  <si>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</si>
  <si>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</si>
  <si>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</si>
  <si>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</si>
  <si>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Radiant Fitness Studio</t>
  </si>
  <si>
    <t>Zenith Finance Co.</t>
  </si>
  <si>
    <t>Apex Events Management</t>
  </si>
  <si>
    <t>Stellar Media Group</t>
  </si>
  <si>
    <t>Harmony Finance Co.</t>
  </si>
  <si>
    <t>Pure Vision Ventures</t>
  </si>
  <si>
    <t>Legacy Travel Services</t>
  </si>
  <si>
    <t>Elite Spectrum Media</t>
  </si>
  <si>
    <t>Pinnacle Design Studio</t>
  </si>
  <si>
    <t>Legacy Travel Ventures</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</si>
  <si>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</si>
  <si>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</si>
  <si>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</si>
  <si>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</si>
  <si>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</si>
  <si>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</si>
  <si>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</si>
  <si>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</si>
  <si>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</si>
  <si>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</si>
  <si>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</si>
  <si>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</si>
  <si>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</si>
  <si>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</si>
  <si>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</si>
  <si>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</si>
  <si>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</si>
  <si>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</si>
  <si>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</si>
  <si>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</si>
  <si>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Laptop</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</si>
  <si>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</si>
  <si>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</si>
  <si>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</si>
  <si>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</si>
  <si>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</si>
  <si>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</si>
  <si>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</si>
  <si>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</si>
  <si>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</si>
  <si>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</si>
  <si>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</si>
  <si>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</si>
  <si>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</si>
  <si>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</si>
  <si>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</si>
  <si>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</si>
  <si>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</si>
  <si>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</si>
  <si>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</si>
  <si>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</si>
  <si>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</si>
  <si>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</si>
  <si>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</si>
  <si>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</si>
  <si>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</si>
  <si>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</si>
  <si>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</si>
  <si>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</si>
  <si>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</si>
  <si>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</si>
  <si>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</si>
  <si>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</si>
  <si>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</si>
  <si>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</si>
  <si>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</si>
  <si>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</si>
  <si>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</si>
  <si>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</si>
  <si>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</si>
  <si>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</si>
  <si>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</si>
  <si>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</si>
  <si>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</si>
  <si>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</si>
  <si>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</si>
  <si>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</si>
  <si>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</si>
  <si>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</si>
  <si>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</si>
  <si>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</si>
  <si>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</si>
  <si>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</si>
  <si>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</si>
  <si>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</si>
  <si>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</si>
  <si>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</si>
  <si>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</si>
  <si>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</si>
  <si>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</si>
  <si>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</si>
  <si>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</si>
  <si>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</si>
  <si>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</si>
  <si>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</si>
  <si>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</si>
  <si>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</si>
  <si>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</si>
  <si>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</si>
  <si>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</si>
  <si>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</si>
  <si>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</si>
  <si>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</si>
  <si>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</si>
  <si>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</si>
  <si>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</si>
  <si>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</si>
  <si>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</si>
  <si>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</si>
  <si>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</si>
  <si>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</si>
  <si>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</si>
  <si>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</si>
  <si>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</si>
  <si>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</si>
  <si>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</si>
  <si>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</si>
  <si>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</si>
  <si>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</si>
  <si>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</si>
  <si>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</si>
  <si>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</si>
  <si>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</si>
  <si>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</si>
  <si>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</si>
  <si>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</si>
  <si>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</si>
  <si>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</si>
  <si>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</si>
  <si>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</si>
  <si>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</si>
  <si>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</si>
  <si>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</si>
  <si>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</si>
  <si>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</si>
  <si>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</si>
  <si>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</si>
  <si>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</si>
  <si>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</si>
  <si>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</si>
  <si>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</si>
  <si>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</si>
  <si>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</si>
  <si>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</si>
  <si>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</si>
  <si>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</si>
  <si>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</si>
  <si>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</si>
  <si>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</si>
  <si>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</si>
  <si>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</si>
  <si>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</si>
  <si>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</si>
  <si>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</si>
  <si>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</si>
  <si>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</si>
  <si>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</si>
  <si>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</si>
  <si>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</si>
  <si>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</si>
  <si>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</si>
  <si>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</si>
  <si>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</si>
  <si>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</si>
  <si>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Check</t>
  </si>
  <si>
    <t>a</t>
  </si>
  <si>
    <t>Gst</t>
  </si>
  <si>
    <t>Tally</t>
  </si>
  <si>
    <t>Add</t>
  </si>
  <si>
    <t>Subtract</t>
  </si>
  <si>
    <t>Multiply</t>
  </si>
  <si>
    <t>gsavgvs dga</t>
  </si>
  <si>
    <t>Aqua Pure solutions</t>
  </si>
  <si>
    <t>Innovatech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</si>
</sst>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_-[$$-409]* #,##0.00_ ;_-[$$-409]* \-#,##0.00\ ;_-[$$-409]* &quot;-&quot;??_ ;_-@_ "/>
    <numFmt numFmtId="166" formatCode="_ [$€-2]\ * #,##0.0_ ;_ [$€-2]\ * \-#,##0.0_ ;_ [$€-2]\ * &quot;-&quot;??_ ;_ @_ "/>
    <numFmt numFmtId="167" formatCode="[$-F800]dddd\,\ mmmm\ dd\,\ yyyy"/>
    <numFmt numFmtId="168" formatCode="dddd/mm/yy"/>
    <numFmt numFmtId="169" formatCode="@&quot;Tons&quot;"/>
    <numFmt numFmtId="170" formatCode="_(&quot;$&quot;* #,##0.00_);_(&quot;$&quot;* \(#,##0.00\);_(&quot;$&quot;* &quot;-&quot;??_);_(@_)"/>
  </numFmts>
  <fonts count="18" x14ac:knownFonts="1">
    <font>
      <sz val="11"/>
      <color theme="1"/>
      <name val="Calibri"/>
      <family val="2"/>
      <scheme val="minor"/>
    </font>
    <font>
      <b/>
      <sz val="11"/>
      <color theme="0"/>
      <name val="Calibri"/>
      <family val="2"/>
      <scheme val="minor"/>
    </font>
    <font>
      <b/>
      <sz val="11"/>
      <color theme="1"/>
      <name val="Calibri"/>
      <family val="2"/>
      <scheme val="minor"/>
    </font>
    <font>
      <b/>
      <sz val="9"/>
      <color theme="0"/>
      <name val="Arial"/>
      <family val="2"/>
    </font>
    <font>
      <b/>
      <sz val="12"/>
      <color theme="0"/>
      <name val="Calibri"/>
      <family val="2"/>
      <scheme val="minor"/>
    </font>
    <font>
      <b/>
      <sz val="14"/>
      <color theme="0"/>
      <name val="Calibri"/>
      <family val="2"/>
      <scheme val="minor"/>
    </font>
    <font>
      <sz val="12"/>
      <color theme="1"/>
      <name val="Calibri"/>
      <family val="2"/>
      <scheme val="minor"/>
    </font>
    <font>
      <b/>
      <sz val="11"/>
      <color theme="1" tint="4.9989318521683403E-2"/>
      <name val="Calibri"/>
      <family val="2"/>
      <scheme val="minor"/>
    </font>
    <font>
      <sz val="11"/>
      <color theme="1"/>
      <name val="Calibri"/>
      <family val="2"/>
      <scheme val="minor"/>
    </font>
    <font>
      <sz val="11"/>
      <color rgb="FFFA7D00"/>
      <name val="Calibri"/>
      <family val="2"/>
      <scheme val="minor"/>
    </font>
    <font>
      <b/>
      <sz val="11"/>
      <color theme="2"/>
      <name val="Calibri"/>
      <family val="2"/>
      <scheme val="minor"/>
    </font>
    <font>
      <sz val="11"/>
      <color indexed="8"/>
      <name val="Calibri"/>
      <family val="2"/>
      <scheme val="minor"/>
    </font>
    <font>
      <b/>
      <sz val="11"/>
      <color indexed="9"/>
      <name val="Calibri"/>
      <family val="2"/>
      <scheme val="minor"/>
    </font>
    <font>
      <b/>
      <sz val="16"/>
      <color theme="0"/>
      <name val="Calibri"/>
      <family val="2"/>
      <scheme val="minor"/>
    </font>
    <font>
      <u/>
      <sz val="11"/>
      <color theme="1"/>
      <name val="Calibri"/>
      <family val="2"/>
      <scheme val="minor"/>
    </font>
    <font>
      <sz val="10"/>
      <color indexed="81"/>
      <name val="Tahoma"/>
      <family val="2"/>
    </font>
    <font>
      <b/>
      <sz val="10"/>
      <color indexed="81"/>
      <name val="Tahoma"/>
      <family val="2"/>
    </font>
    <font>
      <sz val="11"/>
      <color theme="0"/>
      <name val="Calibri"/>
      <family val="2"/>
      <scheme val="minor"/>
    </font>
  </fonts>
  <fills count="24">
    <fill>
      <patternFill patternType="none"/>
    </fill>
    <fill>
      <patternFill patternType="gray125"/>
    </fill>
    <fill>
      <patternFill patternType="solid">
        <fgColor rgb="FFFF0000"/>
        <bgColor indexed="34"/>
      </patternFill>
    </fill>
    <fill>
      <patternFill patternType="solid">
        <fgColor rgb="FF002060"/>
        <bgColor indexed="34"/>
      </patternFill>
    </fill>
    <fill>
      <patternFill patternType="solid">
        <fgColor theme="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5" tint="-0.249977111117893"/>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4" tint="-0.499984740745262"/>
        <bgColor indexed="64"/>
      </patternFill>
    </fill>
    <fill>
      <patternFill patternType="solid">
        <fgColor indexed="9"/>
        <bgColor indexed="24"/>
      </patternFill>
    </fill>
    <fill>
      <patternFill patternType="darkGray">
        <fgColor indexed="21"/>
        <bgColor indexed="17"/>
      </patternFill>
    </fill>
    <fill>
      <patternFill patternType="solid">
        <fgColor indexed="42"/>
        <bgColor indexed="24"/>
      </patternFill>
    </fill>
    <fill>
      <patternFill patternType="solid">
        <fgColor theme="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7030A0"/>
        <bgColor indexed="64"/>
      </patternFill>
    </fill>
    <fill>
      <patternFill patternType="solid">
        <fgColor rgb="FF00B0F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diagonal/>
    </border>
    <border>
      <left/>
      <right/>
      <top/>
      <bottom style="double">
        <color rgb="FFFF8001"/>
      </bottom>
      <diagonal/>
    </border>
    <border>
      <left/>
      <right/>
      <top/>
      <bottom style="thick">
        <color indexed="23"/>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bottom/>
      <diagonal/>
    </border>
  </borders>
  <cellStyleXfs count="3">
    <xf numFmtId="0" fontId="0" fillId="0" borderId="0"/>
    <xf numFmtId="170" fontId="8" fillId="0" borderId="0" applyFont="0" applyFill="0" applyBorder="0" applyAlignment="0" applyProtection="0"/>
    <xf numFmtId="0" fontId="9" fillId="0" borderId="23" applyNumberFormat="0" applyFill="0" applyAlignment="0" applyProtection="0"/>
  </cellStyleXfs>
  <cellXfs count="142">
    <xf numFmtId="0" fontId="0" fillId="0" borderId="0" xfId="0"/>
    <xf numFmtId="0" fontId="3" fillId="3" borderId="4"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applyAlignment="1">
      <alignment horizontal="center"/>
    </xf>
    <xf numFmtId="0" fontId="0" fillId="0" borderId="0" xfId="0" applyAlignment="1">
      <alignment wrapText="1"/>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0" fillId="0" borderId="5"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shrinkToFit="1"/>
    </xf>
    <xf numFmtId="0" fontId="6" fillId="0" borderId="1" xfId="0" applyFont="1" applyBorder="1" applyAlignment="1">
      <alignment horizontal="center" vertical="center"/>
    </xf>
    <xf numFmtId="0" fontId="4" fillId="7"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9" borderId="1" xfId="0" applyFont="1" applyFill="1" applyBorder="1" applyAlignment="1">
      <alignment horizontal="center" vertical="center"/>
    </xf>
    <xf numFmtId="0" fontId="0" fillId="10" borderId="1" xfId="0" applyFill="1" applyBorder="1" applyAlignment="1">
      <alignment horizontal="center"/>
    </xf>
    <xf numFmtId="0" fontId="1" fillId="11" borderId="1" xfId="0" applyFont="1" applyFill="1" applyBorder="1" applyAlignment="1">
      <alignment horizontal="center" vertical="center"/>
    </xf>
    <xf numFmtId="0" fontId="0" fillId="13" borderId="1" xfId="0" applyFill="1" applyBorder="1"/>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6" fillId="8" borderId="6" xfId="0" applyFont="1" applyFill="1" applyBorder="1" applyAlignment="1">
      <alignment horizontal="center" vertical="center"/>
    </xf>
    <xf numFmtId="0" fontId="0" fillId="6" borderId="0" xfId="0" applyFill="1"/>
    <xf numFmtId="14" fontId="0" fillId="0" borderId="0" xfId="0" applyNumberFormat="1"/>
    <xf numFmtId="165" fontId="0" fillId="0" borderId="0" xfId="0" applyNumberFormat="1"/>
    <xf numFmtId="49"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5" fillId="14" borderId="2" xfId="0" applyFont="1" applyFill="1" applyBorder="1" applyAlignment="1">
      <alignment horizontal="center" vertical="center"/>
    </xf>
    <xf numFmtId="0" fontId="5" fillId="14" borderId="3" xfId="0" applyFont="1" applyFill="1" applyBorder="1" applyAlignment="1">
      <alignment horizontal="center" vertical="center"/>
    </xf>
    <xf numFmtId="0" fontId="5" fillId="14" borderId="4" xfId="0" applyFont="1" applyFill="1" applyBorder="1" applyAlignment="1">
      <alignment horizontal="center" vertical="center"/>
    </xf>
    <xf numFmtId="14" fontId="0" fillId="0" borderId="5" xfId="0" applyNumberFormat="1" applyBorder="1" applyAlignment="1">
      <alignment horizontal="center" vertical="center"/>
    </xf>
    <xf numFmtId="14" fontId="0" fillId="0" borderId="7" xfId="0" applyNumberFormat="1" applyBorder="1" applyAlignment="1">
      <alignment horizontal="center" vertical="center"/>
    </xf>
    <xf numFmtId="14" fontId="0" fillId="0" borderId="11" xfId="0" applyNumberFormat="1" applyBorder="1" applyAlignment="1">
      <alignment horizontal="center" vertical="center"/>
    </xf>
    <xf numFmtId="0" fontId="0" fillId="0" borderId="12" xfId="0" applyBorder="1" applyAlignment="1">
      <alignment horizontal="center" vertical="center"/>
    </xf>
    <xf numFmtId="0" fontId="5" fillId="14" borderId="16" xfId="0" applyFont="1" applyFill="1" applyBorder="1" applyAlignment="1">
      <alignment horizontal="center" vertical="center"/>
    </xf>
    <xf numFmtId="0" fontId="5" fillId="14" borderId="17" xfId="0" applyFont="1" applyFill="1" applyBorder="1" applyAlignment="1">
      <alignment horizontal="center" vertical="center"/>
    </xf>
    <xf numFmtId="0" fontId="5" fillId="14" borderId="18" xfId="0" applyFont="1" applyFill="1" applyBorder="1" applyAlignment="1">
      <alignment horizontal="center" vertical="center"/>
    </xf>
    <xf numFmtId="14" fontId="0" fillId="0" borderId="19" xfId="0" applyNumberFormat="1" applyBorder="1" applyAlignment="1">
      <alignment horizontal="center" vertical="center"/>
    </xf>
    <xf numFmtId="0" fontId="0" fillId="0" borderId="20" xfId="0" applyBorder="1" applyAlignment="1">
      <alignment horizontal="center" vertical="center"/>
    </xf>
    <xf numFmtId="14" fontId="0" fillId="0" borderId="22"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1" xfId="0" applyBorder="1" applyAlignment="1">
      <alignment horizontal="center" vertical="center"/>
    </xf>
    <xf numFmtId="14" fontId="9" fillId="0" borderId="23" xfId="2" applyNumberFormat="1" applyAlignment="1">
      <alignment horizontal="center" vertical="center"/>
    </xf>
    <xf numFmtId="0" fontId="9" fillId="0" borderId="23" xfId="2" applyAlignment="1">
      <alignment horizontal="center" vertical="center"/>
    </xf>
    <xf numFmtId="0" fontId="10" fillId="14" borderId="23" xfId="2" applyFont="1" applyFill="1" applyAlignment="1">
      <alignment horizontal="center" vertical="center"/>
    </xf>
    <xf numFmtId="0" fontId="11" fillId="15" borderId="0" xfId="0" applyFont="1" applyFill="1" applyAlignment="1">
      <alignment vertical="center"/>
    </xf>
    <xf numFmtId="0" fontId="12" fillId="16" borderId="0" xfId="0" applyFont="1" applyFill="1" applyAlignment="1">
      <alignment horizontal="left" vertical="center"/>
    </xf>
    <xf numFmtId="0" fontId="11" fillId="17" borderId="0" xfId="0" applyFont="1" applyFill="1" applyAlignment="1">
      <alignment vertical="center"/>
    </xf>
    <xf numFmtId="14" fontId="11" fillId="17" borderId="0" xfId="0" applyNumberFormat="1" applyFont="1" applyFill="1" applyAlignment="1">
      <alignment horizontal="left" vertical="center"/>
    </xf>
    <xf numFmtId="0" fontId="11" fillId="17" borderId="0" xfId="0" applyFont="1" applyFill="1" applyAlignment="1">
      <alignment horizontal="left" vertical="center"/>
    </xf>
    <xf numFmtId="14" fontId="11" fillId="15" borderId="0" xfId="0" applyNumberFormat="1" applyFont="1" applyFill="1" applyAlignment="1">
      <alignment horizontal="left" vertical="center"/>
    </xf>
    <xf numFmtId="0" fontId="11" fillId="15" borderId="0" xfId="0" applyFont="1" applyFill="1" applyAlignment="1">
      <alignment horizontal="left" vertical="center"/>
    </xf>
    <xf numFmtId="0" fontId="11" fillId="17" borderId="24" xfId="0" applyFont="1" applyFill="1" applyBorder="1" applyAlignment="1">
      <alignment vertical="center"/>
    </xf>
    <xf numFmtId="14" fontId="11" fillId="17" borderId="24" xfId="0" applyNumberFormat="1" applyFont="1" applyFill="1" applyBorder="1" applyAlignment="1">
      <alignment horizontal="left" vertical="center"/>
    </xf>
    <xf numFmtId="0" fontId="11" fillId="17" borderId="24" xfId="0" applyFont="1" applyFill="1" applyBorder="1" applyAlignment="1">
      <alignment horizontal="left" vertical="center"/>
    </xf>
    <xf numFmtId="0" fontId="12" fillId="16" borderId="0" xfId="0" applyFont="1" applyFill="1" applyAlignment="1">
      <alignment horizontal="center" vertical="center"/>
    </xf>
    <xf numFmtId="0" fontId="2" fillId="6" borderId="30" xfId="0" applyFont="1" applyFill="1" applyBorder="1" applyAlignment="1">
      <alignment horizontal="center" vertical="center"/>
    </xf>
    <xf numFmtId="0" fontId="2" fillId="9" borderId="30" xfId="0" applyFont="1" applyFill="1" applyBorder="1" applyAlignment="1">
      <alignment horizontal="center" vertical="center"/>
    </xf>
    <xf numFmtId="0" fontId="2" fillId="6" borderId="29" xfId="0" applyFont="1" applyFill="1" applyBorder="1" applyAlignment="1">
      <alignment horizontal="center" vertical="center"/>
    </xf>
    <xf numFmtId="0" fontId="2" fillId="9" borderId="29" xfId="0" applyFont="1" applyFill="1" applyBorder="1" applyAlignment="1">
      <alignment horizontal="center" vertical="center"/>
    </xf>
    <xf numFmtId="0" fontId="13" fillId="9" borderId="25" xfId="0" applyFont="1" applyFill="1" applyBorder="1" applyAlignment="1">
      <alignment horizontal="center" vertical="center"/>
    </xf>
    <xf numFmtId="0" fontId="13" fillId="9" borderId="26" xfId="0" applyFont="1" applyFill="1" applyBorder="1" applyAlignment="1">
      <alignment horizontal="center" vertical="center"/>
    </xf>
    <xf numFmtId="0" fontId="13" fillId="9" borderId="27" xfId="0" applyFont="1" applyFill="1" applyBorder="1" applyAlignment="1">
      <alignment horizontal="center" vertical="center"/>
    </xf>
    <xf numFmtId="167" fontId="2" fillId="0" borderId="28" xfId="0" applyNumberFormat="1"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18" borderId="29" xfId="0" applyFont="1" applyFill="1" applyBorder="1" applyAlignment="1">
      <alignment horizontal="center" vertical="center"/>
    </xf>
    <xf numFmtId="0" fontId="2" fillId="19" borderId="29" xfId="0" applyFont="1" applyFill="1" applyBorder="1" applyAlignment="1">
      <alignment horizontal="center" vertical="center"/>
    </xf>
    <xf numFmtId="0" fontId="2" fillId="19" borderId="30" xfId="0" applyFont="1" applyFill="1" applyBorder="1" applyAlignment="1">
      <alignment horizontal="center" vertical="center"/>
    </xf>
    <xf numFmtId="0" fontId="2" fillId="5" borderId="29" xfId="0" applyFont="1" applyFill="1" applyBorder="1" applyAlignment="1">
      <alignment horizontal="center" vertical="center"/>
    </xf>
    <xf numFmtId="0" fontId="13" fillId="9" borderId="2" xfId="0" applyFont="1" applyFill="1" applyBorder="1" applyAlignment="1">
      <alignment horizontal="center" vertical="center"/>
    </xf>
    <xf numFmtId="0" fontId="13" fillId="9" borderId="3" xfId="0" applyFont="1" applyFill="1" applyBorder="1" applyAlignment="1">
      <alignment horizontal="center" vertical="center"/>
    </xf>
    <xf numFmtId="0" fontId="13" fillId="9" borderId="4" xfId="0" applyFont="1" applyFill="1" applyBorder="1" applyAlignment="1">
      <alignment horizontal="center" vertical="center"/>
    </xf>
    <xf numFmtId="0" fontId="0" fillId="18" borderId="1" xfId="0" applyFill="1" applyBorder="1" applyAlignment="1">
      <alignment horizontal="center" vertical="center"/>
    </xf>
    <xf numFmtId="0" fontId="0" fillId="18" borderId="8" xfId="0" applyFill="1" applyBorder="1" applyAlignment="1">
      <alignment horizontal="center" vertical="center"/>
    </xf>
    <xf numFmtId="167" fontId="0" fillId="18" borderId="5" xfId="0" applyNumberFormat="1" applyFill="1" applyBorder="1" applyAlignment="1">
      <alignment horizontal="center" vertical="center"/>
    </xf>
    <xf numFmtId="0" fontId="0" fillId="18" borderId="6" xfId="0" applyFill="1" applyBorder="1"/>
    <xf numFmtId="0" fontId="14" fillId="18" borderId="1" xfId="0" applyFont="1" applyFill="1" applyBorder="1" applyAlignment="1">
      <alignment horizontal="center" vertical="center"/>
    </xf>
    <xf numFmtId="167" fontId="0" fillId="18" borderId="7" xfId="0" applyNumberFormat="1" applyFill="1" applyBorder="1" applyAlignment="1">
      <alignment horizontal="center" vertical="center"/>
    </xf>
    <xf numFmtId="0" fontId="0" fillId="18" borderId="9" xfId="0" applyFill="1" applyBorder="1"/>
    <xf numFmtId="0" fontId="13" fillId="20" borderId="4" xfId="0" applyFont="1" applyFill="1" applyBorder="1" applyAlignment="1">
      <alignment horizontal="center" vertical="center"/>
    </xf>
    <xf numFmtId="0" fontId="0" fillId="20" borderId="6" xfId="0" applyFill="1" applyBorder="1" applyAlignment="1">
      <alignment horizontal="center" vertical="center"/>
    </xf>
    <xf numFmtId="0" fontId="0" fillId="18" borderId="6" xfId="0" applyFill="1" applyBorder="1" applyAlignment="1">
      <alignment horizontal="center" vertical="center"/>
    </xf>
    <xf numFmtId="0" fontId="0" fillId="18" borderId="5" xfId="0" applyFill="1" applyBorder="1" applyAlignment="1">
      <alignment horizontal="center" vertical="center"/>
    </xf>
    <xf numFmtId="0" fontId="0" fillId="18" borderId="7" xfId="0" applyFill="1" applyBorder="1" applyAlignment="1">
      <alignment horizontal="center" vertical="center"/>
    </xf>
    <xf numFmtId="0" fontId="0" fillId="18" borderId="9" xfId="0" applyFill="1" applyBorder="1" applyAlignment="1">
      <alignment horizontal="center" vertical="center"/>
    </xf>
    <xf numFmtId="0" fontId="13" fillId="4" borderId="2" xfId="0" applyFont="1" applyFill="1" applyBorder="1" applyAlignment="1">
      <alignment horizontal="center" vertical="center"/>
    </xf>
    <xf numFmtId="0" fontId="0" fillId="21" borderId="1" xfId="0" applyFill="1" applyBorder="1" applyAlignment="1">
      <alignment horizontal="center" vertical="center"/>
    </xf>
    <xf numFmtId="0" fontId="13" fillId="4" borderId="4" xfId="0" applyFont="1" applyFill="1" applyBorder="1" applyAlignment="1">
      <alignment horizontal="center" vertical="center"/>
    </xf>
    <xf numFmtId="0" fontId="2" fillId="6" borderId="10" xfId="0" applyFont="1" applyFill="1" applyBorder="1" applyAlignment="1">
      <alignment horizontal="center"/>
    </xf>
    <xf numFmtId="0" fontId="0" fillId="6" borderId="0" xfId="0" applyFill="1"/>
    <xf numFmtId="0" fontId="5" fillId="4" borderId="10" xfId="0" applyFont="1" applyFill="1" applyBorder="1" applyAlignment="1">
      <alignment horizontal="center"/>
    </xf>
    <xf numFmtId="0" fontId="2" fillId="6" borderId="12" xfId="0" applyFont="1" applyFill="1" applyBorder="1" applyAlignment="1">
      <alignment horizontal="center"/>
    </xf>
    <xf numFmtId="0" fontId="2" fillId="6" borderId="13" xfId="0" applyFont="1" applyFill="1" applyBorder="1" applyAlignment="1">
      <alignment horizontal="center"/>
    </xf>
    <xf numFmtId="0" fontId="2" fillId="6" borderId="11" xfId="0" applyFont="1" applyFill="1" applyBorder="1" applyAlignment="1">
      <alignment horizontal="center"/>
    </xf>
    <xf numFmtId="0" fontId="0" fillId="0" borderId="0" xfId="0" applyAlignment="1">
      <alignment horizontal="center" vertical="center"/>
    </xf>
    <xf numFmtId="0" fontId="0" fillId="0" borderId="0" xfId="0"/>
    <xf numFmtId="0" fontId="1" fillId="11" borderId="2" xfId="0" applyFont="1" applyFill="1" applyBorder="1" applyAlignment="1">
      <alignment horizontal="center" vertical="center"/>
    </xf>
    <xf numFmtId="0" fontId="1" fillId="11" borderId="3" xfId="0" applyFont="1" applyFill="1" applyBorder="1" applyAlignment="1">
      <alignment horizontal="center" vertical="center"/>
    </xf>
    <xf numFmtId="0" fontId="1" fillId="11" borderId="4" xfId="0" applyFont="1" applyFill="1" applyBorder="1" applyAlignment="1">
      <alignment horizontal="center" vertical="center"/>
    </xf>
    <xf numFmtId="14" fontId="0" fillId="0" borderId="1" xfId="0" applyNumberFormat="1" applyBorder="1" applyAlignment="1">
      <alignment horizontal="center" vertical="center"/>
    </xf>
    <xf numFmtId="0" fontId="0" fillId="0" borderId="1" xfId="0" applyFill="1" applyBorder="1" applyAlignment="1">
      <alignment horizontal="center" vertical="center"/>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0" fillId="5" borderId="1" xfId="0" applyFill="1" applyBorder="1"/>
    <xf numFmtId="0" fontId="0" fillId="0" borderId="1" xfId="0" applyBorder="1"/>
    <xf numFmtId="14" fontId="0" fillId="18" borderId="5" xfId="0" applyNumberFormat="1" applyFont="1" applyFill="1" applyBorder="1" applyAlignment="1">
      <alignment horizontal="center" vertical="center"/>
    </xf>
    <xf numFmtId="0" fontId="0" fillId="18" borderId="1" xfId="0" applyFont="1" applyFill="1" applyBorder="1" applyAlignment="1">
      <alignment horizontal="center" vertical="center"/>
    </xf>
    <xf numFmtId="0" fontId="0" fillId="18" borderId="6" xfId="0" applyFont="1" applyFill="1" applyBorder="1" applyAlignment="1">
      <alignment horizontal="center" vertical="center"/>
    </xf>
    <xf numFmtId="14" fontId="0" fillId="18" borderId="7" xfId="0" applyNumberFormat="1" applyFont="1" applyFill="1" applyBorder="1" applyAlignment="1">
      <alignment horizontal="center" vertical="center"/>
    </xf>
    <xf numFmtId="0" fontId="0" fillId="18" borderId="8" xfId="0" applyFont="1" applyFill="1" applyBorder="1" applyAlignment="1">
      <alignment horizontal="center" vertical="center"/>
    </xf>
    <xf numFmtId="0" fontId="0" fillId="18" borderId="9" xfId="0" applyFont="1" applyFill="1" applyBorder="1" applyAlignment="1">
      <alignment horizontal="center" vertical="center"/>
    </xf>
    <xf numFmtId="0" fontId="17" fillId="20" borderId="2" xfId="0" applyFont="1" applyFill="1" applyBorder="1" applyAlignment="1">
      <alignment horizontal="center" vertical="center"/>
    </xf>
    <xf numFmtId="0" fontId="17" fillId="20" borderId="3" xfId="0" applyFont="1" applyFill="1" applyBorder="1" applyAlignment="1">
      <alignment horizontal="center" vertical="center"/>
    </xf>
    <xf numFmtId="0" fontId="17" fillId="20" borderId="4" xfId="0" applyFont="1" applyFill="1" applyBorder="1" applyAlignment="1">
      <alignment horizontal="center" vertical="center"/>
    </xf>
    <xf numFmtId="0" fontId="0" fillId="6" borderId="1" xfId="0" applyFont="1" applyFill="1" applyBorder="1" applyAlignment="1">
      <alignment horizontal="center" vertical="center"/>
    </xf>
    <xf numFmtId="14" fontId="0" fillId="6" borderId="5" xfId="0" applyNumberFormat="1" applyFont="1" applyFill="1" applyBorder="1" applyAlignment="1">
      <alignment horizontal="center" vertical="center"/>
    </xf>
    <xf numFmtId="0" fontId="0" fillId="6" borderId="6" xfId="0" applyFont="1" applyFill="1" applyBorder="1" applyAlignment="1">
      <alignment horizontal="center" vertical="center"/>
    </xf>
  </cellXfs>
  <cellStyles count="3">
    <cellStyle name="Currency 2" xfId="1" xr:uid="{7A822373-DA95-42E6-A4D9-4C3E33C6B767}"/>
    <cellStyle name="Linked Cell" xfId="2" builtinId="24"/>
    <cellStyle name="Normal" xfId="0" builtinId="0"/>
  </cellStyles>
  <dxfs count="11">
    <dxf>
      <font>
        <color rgb="FF9C0006"/>
      </font>
      <fill>
        <patternFill>
          <bgColor rgb="FFFFC7CE"/>
        </patternFill>
      </fill>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5</xdr:col>
      <xdr:colOff>45720</xdr:colOff>
      <xdr:row>16</xdr:row>
      <xdr:rowOff>152400</xdr:rowOff>
    </xdr:from>
    <xdr:to>
      <xdr:col>7</xdr:col>
      <xdr:colOff>655320</xdr:colOff>
      <xdr:row>30</xdr:row>
      <xdr:rowOff>59055</xdr:rowOff>
    </xdr:to>
    <mc:AlternateContent xmlns:mc="http://schemas.openxmlformats.org/markup-compatibility/2006" xmlns:sle15="http://schemas.microsoft.com/office/drawing/2012/slicer">
      <mc:Choice Requires="sle15">
        <xdr:graphicFrame macro="">
          <xdr:nvGraphicFramePr>
            <xdr:cNvPr id="2" name="Party Names">
              <a:extLst>
                <a:ext uri="{FF2B5EF4-FFF2-40B4-BE49-F238E27FC236}">
                  <a16:creationId xmlns:a16="http://schemas.microsoft.com/office/drawing/2014/main" id="{B2D74B53-7885-C256-23B1-1FC22FC811A0}"/>
                </a:ext>
              </a:extLst>
            </xdr:cNvPr>
            <xdr:cNvGraphicFramePr/>
          </xdr:nvGraphicFramePr>
          <xdr:xfrm>
            <a:off x="0" y="0"/>
            <a:ext cx="0" cy="0"/>
          </xdr:xfrm>
          <a:graphic>
            <a:graphicData uri="http://schemas.microsoft.com/office/drawing/2010/slicer">
              <sle:slicer xmlns:sle="http://schemas.microsoft.com/office/drawing/2010/slicer" name="Party Names"/>
            </a:graphicData>
          </a:graphic>
        </xdr:graphicFrame>
      </mc:Choice>
      <mc:Fallback xmlns="">
        <xdr:sp macro="" textlink="">
          <xdr:nvSpPr>
            <xdr:cNvPr id="0" name=""/>
            <xdr:cNvSpPr>
              <a:spLocks noTextEdit="1"/>
            </xdr:cNvSpPr>
          </xdr:nvSpPr>
          <xdr:spPr>
            <a:xfrm>
              <a:off x="4823460" y="3131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s" xr10:uid="{779356C9-5A1E-4C5F-A5CD-EF3A6A1B2F25}" sourceName="Party Names">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s" xr10:uid="{AAA2E9C6-1147-4162-8D45-B753C7915546}" cache="Slicer_Party_Names" caption="Party Nam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8386B6-D01E-4985-A90C-3845AD45106C}" name="Sales" displayName="Sales" ref="A1:E16" totalsRowShown="0" headerRowDxfId="10" dataDxfId="8" headerRowBorderDxfId="9" tableBorderDxfId="7" totalsRowBorderDxfId="6">
  <autoFilter ref="A1:E16" xr:uid="{E18386B6-D01E-4985-A90C-3845AD45106C}"/>
  <tableColumns count="5">
    <tableColumn id="1" xr3:uid="{C97B89C1-F131-4B26-B3AE-61F1A5582BBF}" name="Dates" dataDxfId="5"/>
    <tableColumn id="2" xr3:uid="{02B122A6-44F5-4876-A56E-8405881C9C0E}" name="Party Names" dataDxfId="4"/>
    <tableColumn id="3" xr3:uid="{AC0CAFA5-0D00-4602-A912-2CA7B2A41063}" name="Quantity" dataDxfId="3"/>
    <tableColumn id="4" xr3:uid="{746346DE-80B1-47E5-BFF6-E6E9576C3771}" name="Rate" dataDxfId="2"/>
    <tableColumn id="5" xr3:uid="{C9F054F1-449F-403A-BA8D-0B4B6DE4B3C0}" name="Amount" dataDxfId="1">
      <calculatedColumnFormula>C2*D2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3B7D-5211-4E99-A92F-7236A1D0AF36}">
  <dimension ref="A1:C11"/>
  <sheetViews>
    <sheetView workbookViewId="0">
      <selection activeCell="C25" sqref="C25"/>
    </sheetView>
  </sheetViews>
  <sheetFormatPr defaultRowHeight="14.4" x14ac:dyDescent="0.3"/>
  <sheetData>
    <row r="1" spans="1:3" x14ac:dyDescent="0.3">
      <c r="A1" t="s">
        <v>1</v>
      </c>
      <c r="B1" t="s">
        <v>2</v>
      </c>
      <c r="C1" t="s">
        <v>3</v>
      </c>
    </row>
    <row r="2" spans="1:3" x14ac:dyDescent="0.3">
      <c r="A2">
        <v>1</v>
      </c>
      <c r="B2" t="s">
        <v>0</v>
      </c>
      <c r="C2">
        <v>98908</v>
      </c>
    </row>
    <row r="3" spans="1:3" x14ac:dyDescent="0.3">
      <c r="A3">
        <v>2</v>
      </c>
      <c r="B3" t="s">
        <v>4</v>
      </c>
      <c r="C3">
        <v>37728</v>
      </c>
    </row>
    <row r="4" spans="1:3" x14ac:dyDescent="0.3">
      <c r="A4">
        <v>3</v>
      </c>
      <c r="B4" t="s">
        <v>5</v>
      </c>
      <c r="C4">
        <v>98908</v>
      </c>
    </row>
    <row r="5" spans="1:3" x14ac:dyDescent="0.3">
      <c r="A5">
        <v>4</v>
      </c>
      <c r="B5" t="s">
        <v>6</v>
      </c>
      <c r="C5">
        <v>722735</v>
      </c>
    </row>
    <row r="6" spans="1:3" x14ac:dyDescent="0.3">
      <c r="A6">
        <v>5</v>
      </c>
      <c r="B6" t="s">
        <v>7</v>
      </c>
      <c r="C6">
        <v>144672</v>
      </c>
    </row>
    <row r="7" spans="1:3" x14ac:dyDescent="0.3">
      <c r="A7">
        <v>6</v>
      </c>
      <c r="B7" t="s">
        <v>8</v>
      </c>
      <c r="C7">
        <v>98908</v>
      </c>
    </row>
    <row r="8" spans="1:3" x14ac:dyDescent="0.3">
      <c r="A8">
        <v>7</v>
      </c>
      <c r="B8" t="s">
        <v>9</v>
      </c>
      <c r="C8">
        <v>82742</v>
      </c>
    </row>
    <row r="9" spans="1:3" x14ac:dyDescent="0.3">
      <c r="A9">
        <v>8</v>
      </c>
      <c r="B9" t="s">
        <v>4</v>
      </c>
      <c r="C9">
        <v>98908</v>
      </c>
    </row>
    <row r="10" spans="1:3" x14ac:dyDescent="0.3">
      <c r="A10">
        <v>9</v>
      </c>
      <c r="B10" t="s">
        <v>10</v>
      </c>
      <c r="C10">
        <v>3872</v>
      </c>
    </row>
    <row r="11" spans="1:3" x14ac:dyDescent="0.3">
      <c r="A11">
        <v>10</v>
      </c>
      <c r="B11" t="s">
        <v>11</v>
      </c>
      <c r="C11">
        <v>32329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D792-49DF-44AC-8674-CE9B47F82B45}">
  <dimension ref="A1:O16"/>
  <sheetViews>
    <sheetView workbookViewId="0">
      <selection activeCell="D25" sqref="D25"/>
    </sheetView>
  </sheetViews>
  <sheetFormatPr defaultRowHeight="14.4" x14ac:dyDescent="0.3"/>
  <cols>
    <col min="1" max="1" width="14.109375" bestFit="1" customWidth="1"/>
    <col min="2" max="2" width="12.44140625" bestFit="1" customWidth="1"/>
    <col min="3" max="3" width="21.44140625" bestFit="1" customWidth="1"/>
    <col min="4" max="4" width="36.5546875" bestFit="1" customWidth="1"/>
    <col min="5" max="5" width="9.33203125" bestFit="1" customWidth="1"/>
    <col min="6" max="6" width="5.21875" bestFit="1" customWidth="1"/>
    <col min="7" max="7" width="8.109375" bestFit="1" customWidth="1"/>
  </cols>
  <sheetData>
    <row r="1" spans="1:15" x14ac:dyDescent="0.3">
      <c r="A1" s="2" t="s">
        <v>12</v>
      </c>
      <c r="B1" s="3" t="s">
        <v>13</v>
      </c>
      <c r="C1" s="3" t="s">
        <v>14</v>
      </c>
      <c r="D1" s="3" t="s">
        <v>15</v>
      </c>
      <c r="E1" s="3" t="s">
        <v>16</v>
      </c>
      <c r="F1" s="3" t="s">
        <v>17</v>
      </c>
      <c r="G1" s="1" t="s">
        <v>18</v>
      </c>
    </row>
    <row r="2" spans="1:15" x14ac:dyDescent="0.3">
      <c r="A2" s="6">
        <v>1</v>
      </c>
      <c r="B2" s="5">
        <v>44440</v>
      </c>
      <c r="C2" s="4" t="s">
        <v>19</v>
      </c>
      <c r="D2" s="4" t="s">
        <v>20</v>
      </c>
      <c r="E2" s="4">
        <v>780</v>
      </c>
      <c r="F2" s="4">
        <v>138</v>
      </c>
      <c r="G2" s="7">
        <v>107640</v>
      </c>
    </row>
    <row r="3" spans="1:15" x14ac:dyDescent="0.3">
      <c r="A3" s="6">
        <v>2</v>
      </c>
      <c r="B3" s="5">
        <v>44441</v>
      </c>
      <c r="C3" s="4" t="s">
        <v>21</v>
      </c>
      <c r="D3" s="4" t="s">
        <v>22</v>
      </c>
      <c r="E3" s="4">
        <v>948</v>
      </c>
      <c r="F3" s="4">
        <v>99</v>
      </c>
      <c r="G3" s="7">
        <v>93852</v>
      </c>
    </row>
    <row r="4" spans="1:15" x14ac:dyDescent="0.3">
      <c r="A4" s="6">
        <v>3</v>
      </c>
      <c r="B4" s="5">
        <v>44442</v>
      </c>
      <c r="C4" s="4" t="s">
        <v>23</v>
      </c>
      <c r="D4" s="4" t="s">
        <v>24</v>
      </c>
      <c r="E4" s="4">
        <v>570</v>
      </c>
      <c r="F4" s="4">
        <v>134</v>
      </c>
      <c r="G4" s="7">
        <v>76380</v>
      </c>
    </row>
    <row r="5" spans="1:15" x14ac:dyDescent="0.3">
      <c r="A5" s="6">
        <v>4</v>
      </c>
      <c r="B5" s="5">
        <v>44443</v>
      </c>
      <c r="C5" s="4" t="s">
        <v>25</v>
      </c>
      <c r="D5" s="4" t="s">
        <v>26</v>
      </c>
      <c r="E5" s="4">
        <v>728</v>
      </c>
      <c r="F5" s="4">
        <v>119</v>
      </c>
      <c r="G5" s="7">
        <v>86632</v>
      </c>
    </row>
    <row r="6" spans="1:15" x14ac:dyDescent="0.3">
      <c r="A6" s="6">
        <v>5</v>
      </c>
      <c r="B6" s="5">
        <v>44444</v>
      </c>
      <c r="C6" s="4" t="s">
        <v>19</v>
      </c>
      <c r="D6" s="4" t="s">
        <v>27</v>
      </c>
      <c r="E6" s="4">
        <v>623</v>
      </c>
      <c r="F6" s="4">
        <v>83</v>
      </c>
      <c r="G6" s="7">
        <v>51709</v>
      </c>
    </row>
    <row r="7" spans="1:15" x14ac:dyDescent="0.3">
      <c r="A7" s="6">
        <v>6</v>
      </c>
      <c r="B7" s="5">
        <v>44445</v>
      </c>
      <c r="C7" s="4" t="s">
        <v>21</v>
      </c>
      <c r="D7" s="4" t="s">
        <v>20</v>
      </c>
      <c r="E7" s="4">
        <v>585</v>
      </c>
      <c r="F7" s="4">
        <v>134</v>
      </c>
      <c r="G7" s="7">
        <v>78390</v>
      </c>
    </row>
    <row r="8" spans="1:15" x14ac:dyDescent="0.3">
      <c r="A8" s="6">
        <v>7</v>
      </c>
      <c r="B8" s="5">
        <v>44446</v>
      </c>
      <c r="C8" s="4" t="s">
        <v>23</v>
      </c>
      <c r="D8" s="4" t="s">
        <v>22</v>
      </c>
      <c r="E8" s="4">
        <v>928</v>
      </c>
      <c r="F8" s="4">
        <v>87</v>
      </c>
      <c r="G8" s="7">
        <v>80736</v>
      </c>
    </row>
    <row r="9" spans="1:15" x14ac:dyDescent="0.3">
      <c r="A9" s="6">
        <v>8</v>
      </c>
      <c r="B9" s="5">
        <v>44447</v>
      </c>
      <c r="C9" s="4" t="s">
        <v>25</v>
      </c>
      <c r="D9" s="4" t="s">
        <v>24</v>
      </c>
      <c r="E9" s="4">
        <v>914</v>
      </c>
      <c r="F9" s="4">
        <v>72</v>
      </c>
      <c r="G9" s="7">
        <v>65808</v>
      </c>
    </row>
    <row r="10" spans="1:15" x14ac:dyDescent="0.3">
      <c r="A10" s="6">
        <v>9</v>
      </c>
      <c r="B10" s="5">
        <v>44448</v>
      </c>
      <c r="C10" s="4" t="s">
        <v>19</v>
      </c>
      <c r="D10" s="4" t="s">
        <v>26</v>
      </c>
      <c r="E10" s="4">
        <v>611</v>
      </c>
      <c r="F10" s="4">
        <v>131</v>
      </c>
      <c r="G10" s="7">
        <v>80041</v>
      </c>
    </row>
    <row r="11" spans="1:15" x14ac:dyDescent="0.3">
      <c r="A11" s="6">
        <v>10</v>
      </c>
      <c r="B11" s="5">
        <v>44449</v>
      </c>
      <c r="C11" s="4" t="s">
        <v>21</v>
      </c>
      <c r="D11" s="4" t="s">
        <v>27</v>
      </c>
      <c r="E11" s="4">
        <v>626</v>
      </c>
      <c r="F11" s="4">
        <v>130</v>
      </c>
      <c r="G11" s="7">
        <v>81380</v>
      </c>
      <c r="O11" t="s">
        <v>28</v>
      </c>
    </row>
    <row r="12" spans="1:15" x14ac:dyDescent="0.3">
      <c r="A12" s="6">
        <v>11</v>
      </c>
      <c r="B12" s="5">
        <v>44450</v>
      </c>
      <c r="C12" s="4" t="s">
        <v>23</v>
      </c>
      <c r="D12" s="4" t="s">
        <v>20</v>
      </c>
      <c r="E12" s="4">
        <v>854</v>
      </c>
      <c r="F12" s="4">
        <v>112</v>
      </c>
      <c r="G12" s="7">
        <v>95648</v>
      </c>
    </row>
    <row r="13" spans="1:15" x14ac:dyDescent="0.3">
      <c r="A13" s="6">
        <v>12</v>
      </c>
      <c r="B13" s="5">
        <v>44451</v>
      </c>
      <c r="C13" s="4" t="s">
        <v>25</v>
      </c>
      <c r="D13" s="4" t="s">
        <v>22</v>
      </c>
      <c r="E13" s="4">
        <v>793</v>
      </c>
      <c r="F13" s="4">
        <v>127</v>
      </c>
      <c r="G13" s="7">
        <v>100711</v>
      </c>
    </row>
    <row r="14" spans="1:15" x14ac:dyDescent="0.3">
      <c r="A14" s="6">
        <v>13</v>
      </c>
      <c r="B14" s="5">
        <v>44452</v>
      </c>
      <c r="C14" s="4" t="s">
        <v>19</v>
      </c>
      <c r="D14" s="4" t="s">
        <v>24</v>
      </c>
      <c r="E14" s="4">
        <v>719</v>
      </c>
      <c r="F14" s="4">
        <v>72</v>
      </c>
      <c r="G14" s="7">
        <v>51768</v>
      </c>
    </row>
    <row r="15" spans="1:15" x14ac:dyDescent="0.3">
      <c r="A15" s="6">
        <v>14</v>
      </c>
      <c r="B15" s="5">
        <v>44453</v>
      </c>
      <c r="C15" s="4" t="s">
        <v>21</v>
      </c>
      <c r="D15" s="4" t="s">
        <v>26</v>
      </c>
      <c r="E15" s="4">
        <v>782</v>
      </c>
      <c r="F15" s="4">
        <v>91</v>
      </c>
      <c r="G15" s="7">
        <v>71162</v>
      </c>
    </row>
    <row r="16" spans="1:15" ht="15" thickBot="1" x14ac:dyDescent="0.35">
      <c r="A16" s="8">
        <v>15</v>
      </c>
      <c r="B16" s="9">
        <v>44454</v>
      </c>
      <c r="C16" s="10" t="s">
        <v>23</v>
      </c>
      <c r="D16" s="10" t="s">
        <v>27</v>
      </c>
      <c r="E16" s="10">
        <v>655</v>
      </c>
      <c r="F16" s="10">
        <v>74</v>
      </c>
      <c r="G16" s="11">
        <v>48470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920A-DEFF-49D8-AB35-206F90F4A2A0}">
  <dimension ref="A1:H17"/>
  <sheetViews>
    <sheetView zoomScale="108" workbookViewId="0">
      <selection activeCell="D25" sqref="D25"/>
    </sheetView>
  </sheetViews>
  <sheetFormatPr defaultRowHeight="14.4" x14ac:dyDescent="0.3"/>
  <cols>
    <col min="1" max="1" width="10.6640625" bestFit="1" customWidth="1"/>
    <col min="2" max="2" width="14.21875" bestFit="1" customWidth="1"/>
    <col min="3" max="3" width="22.77734375" bestFit="1" customWidth="1"/>
    <col min="4" max="5" width="38" bestFit="1" customWidth="1"/>
    <col min="6" max="6" width="5.21875" bestFit="1" customWidth="1"/>
    <col min="7" max="7" width="8.77734375" bestFit="1" customWidth="1"/>
  </cols>
  <sheetData>
    <row r="1" spans="1:8" ht="15" thickBot="1" x14ac:dyDescent="0.35"/>
    <row r="2" spans="1:8" x14ac:dyDescent="0.3">
      <c r="A2" s="14" t="s">
        <v>29</v>
      </c>
      <c r="B2" s="15" t="s">
        <v>30</v>
      </c>
      <c r="C2" s="15"/>
      <c r="D2" s="15" t="s">
        <v>14</v>
      </c>
      <c r="E2" s="15" t="s">
        <v>31</v>
      </c>
      <c r="F2" s="15" t="s">
        <v>16</v>
      </c>
      <c r="G2" s="15" t="s">
        <v>17</v>
      </c>
      <c r="H2" s="16" t="s">
        <v>18</v>
      </c>
    </row>
    <row r="3" spans="1:8" x14ac:dyDescent="0.3">
      <c r="A3" s="17">
        <v>1</v>
      </c>
      <c r="B3" s="18">
        <v>44440</v>
      </c>
      <c r="C3" s="18"/>
      <c r="D3" s="19" t="s">
        <v>19</v>
      </c>
      <c r="E3" s="19" t="s">
        <v>20</v>
      </c>
      <c r="F3" s="19">
        <v>780</v>
      </c>
      <c r="G3" s="19">
        <v>138</v>
      </c>
      <c r="H3" s="20">
        <v>107640</v>
      </c>
    </row>
    <row r="4" spans="1:8" x14ac:dyDescent="0.3">
      <c r="A4" s="17">
        <v>2</v>
      </c>
      <c r="B4" s="18">
        <v>44441</v>
      </c>
      <c r="C4" s="18"/>
      <c r="D4" s="19" t="s">
        <v>21</v>
      </c>
      <c r="E4" s="19" t="s">
        <v>22</v>
      </c>
      <c r="F4" s="19">
        <v>948</v>
      </c>
      <c r="G4" s="19">
        <v>99</v>
      </c>
      <c r="H4" s="20">
        <v>93852</v>
      </c>
    </row>
    <row r="5" spans="1:8" x14ac:dyDescent="0.3">
      <c r="A5" s="17">
        <v>3</v>
      </c>
      <c r="B5" s="18">
        <v>44442</v>
      </c>
      <c r="C5" s="18"/>
      <c r="D5" s="19" t="s">
        <v>23</v>
      </c>
      <c r="E5" s="19" t="s">
        <v>24</v>
      </c>
      <c r="F5" s="19">
        <v>570</v>
      </c>
      <c r="G5" s="19">
        <v>134</v>
      </c>
      <c r="H5" s="20">
        <v>76380</v>
      </c>
    </row>
    <row r="6" spans="1:8" x14ac:dyDescent="0.3">
      <c r="A6" s="17">
        <v>4</v>
      </c>
      <c r="B6" s="18">
        <v>44443</v>
      </c>
      <c r="C6" s="18"/>
      <c r="D6" s="19" t="s">
        <v>25</v>
      </c>
      <c r="E6" s="19" t="s">
        <v>26</v>
      </c>
      <c r="F6" s="19">
        <v>728</v>
      </c>
      <c r="G6" s="19">
        <v>119</v>
      </c>
      <c r="H6" s="20">
        <v>86632</v>
      </c>
    </row>
    <row r="7" spans="1:8" x14ac:dyDescent="0.3">
      <c r="A7" s="17">
        <v>5</v>
      </c>
      <c r="B7" s="18">
        <v>44444</v>
      </c>
      <c r="C7" s="18"/>
      <c r="D7" s="19" t="s">
        <v>19</v>
      </c>
      <c r="E7" s="19" t="s">
        <v>27</v>
      </c>
      <c r="F7" s="19">
        <v>623</v>
      </c>
      <c r="G7" s="19">
        <v>83</v>
      </c>
      <c r="H7" s="20">
        <v>51709</v>
      </c>
    </row>
    <row r="8" spans="1:8" x14ac:dyDescent="0.3">
      <c r="A8" s="17">
        <v>6</v>
      </c>
      <c r="B8" s="18">
        <v>44445</v>
      </c>
      <c r="C8" s="18"/>
      <c r="D8" s="19" t="s">
        <v>21</v>
      </c>
      <c r="E8" s="19" t="s">
        <v>20</v>
      </c>
      <c r="F8" s="19">
        <v>585</v>
      </c>
      <c r="G8" s="19">
        <v>134</v>
      </c>
      <c r="H8" s="20">
        <v>78390</v>
      </c>
    </row>
    <row r="9" spans="1:8" x14ac:dyDescent="0.3">
      <c r="A9" s="17">
        <v>7</v>
      </c>
      <c r="B9" s="18">
        <v>44446</v>
      </c>
      <c r="C9" s="18"/>
      <c r="D9" s="19" t="s">
        <v>23</v>
      </c>
      <c r="E9" s="19" t="s">
        <v>22</v>
      </c>
      <c r="F9" s="19">
        <v>928</v>
      </c>
      <c r="G9" s="19">
        <v>87</v>
      </c>
      <c r="H9" s="20">
        <v>80736</v>
      </c>
    </row>
    <row r="10" spans="1:8" x14ac:dyDescent="0.3">
      <c r="A10" s="17">
        <v>8</v>
      </c>
      <c r="B10" s="18">
        <v>44447</v>
      </c>
      <c r="C10" s="18"/>
      <c r="D10" s="19" t="s">
        <v>25</v>
      </c>
      <c r="E10" s="19" t="s">
        <v>24</v>
      </c>
      <c r="F10" s="19">
        <v>914</v>
      </c>
      <c r="G10" s="19">
        <v>72</v>
      </c>
      <c r="H10" s="20">
        <v>65808</v>
      </c>
    </row>
    <row r="11" spans="1:8" x14ac:dyDescent="0.3">
      <c r="A11" s="17">
        <v>9</v>
      </c>
      <c r="B11" s="18">
        <v>44448</v>
      </c>
      <c r="C11" s="18"/>
      <c r="D11" s="19" t="s">
        <v>19</v>
      </c>
      <c r="E11" s="19" t="s">
        <v>26</v>
      </c>
      <c r="F11" s="19">
        <v>611</v>
      </c>
      <c r="G11" s="19">
        <v>131</v>
      </c>
      <c r="H11" s="20">
        <v>80041</v>
      </c>
    </row>
    <row r="12" spans="1:8" x14ac:dyDescent="0.3">
      <c r="A12" s="17">
        <v>10</v>
      </c>
      <c r="B12" s="18">
        <v>44449</v>
      </c>
      <c r="C12" s="18"/>
      <c r="D12" s="19" t="s">
        <v>21</v>
      </c>
      <c r="E12" s="19" t="s">
        <v>27</v>
      </c>
      <c r="F12" s="19">
        <v>626</v>
      </c>
      <c r="G12" s="19">
        <v>130</v>
      </c>
      <c r="H12" s="20">
        <v>81380</v>
      </c>
    </row>
    <row r="13" spans="1:8" x14ac:dyDescent="0.3">
      <c r="A13" s="17">
        <v>11</v>
      </c>
      <c r="B13" s="18">
        <v>44450</v>
      </c>
      <c r="C13" s="18"/>
      <c r="D13" s="19" t="s">
        <v>23</v>
      </c>
      <c r="E13" s="19" t="s">
        <v>20</v>
      </c>
      <c r="F13" s="19">
        <v>854</v>
      </c>
      <c r="G13" s="19">
        <v>112</v>
      </c>
      <c r="H13" s="20">
        <v>95648</v>
      </c>
    </row>
    <row r="14" spans="1:8" x14ac:dyDescent="0.3">
      <c r="A14" s="17">
        <v>12</v>
      </c>
      <c r="B14" s="18">
        <v>44451</v>
      </c>
      <c r="C14" s="18"/>
      <c r="D14" s="19" t="s">
        <v>25</v>
      </c>
      <c r="E14" s="19" t="s">
        <v>22</v>
      </c>
      <c r="F14" s="19">
        <v>793</v>
      </c>
      <c r="G14" s="19">
        <v>127</v>
      </c>
      <c r="H14" s="20">
        <v>100711</v>
      </c>
    </row>
    <row r="15" spans="1:8" x14ac:dyDescent="0.3">
      <c r="A15" s="17">
        <v>13</v>
      </c>
      <c r="B15" s="18">
        <v>44452</v>
      </c>
      <c r="C15" s="18"/>
      <c r="D15" s="19" t="s">
        <v>19</v>
      </c>
      <c r="E15" s="19" t="s">
        <v>20</v>
      </c>
      <c r="F15" s="19">
        <v>719</v>
      </c>
      <c r="G15" s="19">
        <v>72</v>
      </c>
      <c r="H15" s="20">
        <v>51768</v>
      </c>
    </row>
    <row r="16" spans="1:8" x14ac:dyDescent="0.3">
      <c r="A16" s="17">
        <v>14</v>
      </c>
      <c r="B16" s="18">
        <v>44453</v>
      </c>
      <c r="C16" s="18"/>
      <c r="D16" s="19" t="s">
        <v>21</v>
      </c>
      <c r="E16" s="19" t="s">
        <v>26</v>
      </c>
      <c r="F16" s="19">
        <v>782</v>
      </c>
      <c r="G16" s="19">
        <v>91</v>
      </c>
      <c r="H16" s="20">
        <v>71162</v>
      </c>
    </row>
    <row r="17" spans="1:8" ht="15" thickBot="1" x14ac:dyDescent="0.35">
      <c r="A17" s="21">
        <v>15</v>
      </c>
      <c r="B17" s="22">
        <v>44454</v>
      </c>
      <c r="C17" s="22"/>
      <c r="D17" s="23" t="s">
        <v>23</v>
      </c>
      <c r="E17" s="23" t="s">
        <v>27</v>
      </c>
      <c r="F17" s="23">
        <v>655</v>
      </c>
      <c r="G17" s="23">
        <v>74</v>
      </c>
      <c r="H17" s="24">
        <v>48470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E40E-65EA-429A-BFFD-3C615ED9D4E8}">
  <dimension ref="A1:G18"/>
  <sheetViews>
    <sheetView topLeftCell="A5" workbookViewId="0">
      <selection activeCell="A29" sqref="A29"/>
    </sheetView>
  </sheetViews>
  <sheetFormatPr defaultRowHeight="14.4" x14ac:dyDescent="0.3"/>
  <cols>
    <col min="1" max="1" width="14.109375" bestFit="1" customWidth="1"/>
    <col min="2" max="2" width="12.44140625" bestFit="1" customWidth="1"/>
    <col min="3" max="3" width="21.44140625" bestFit="1" customWidth="1"/>
    <col min="4" max="4" width="36.5546875" bestFit="1" customWidth="1"/>
  </cols>
  <sheetData>
    <row r="1" spans="1:7" x14ac:dyDescent="0.3">
      <c r="A1" s="114" t="s">
        <v>33</v>
      </c>
      <c r="B1" s="114"/>
      <c r="C1" s="114"/>
      <c r="D1" s="114"/>
      <c r="E1" s="114"/>
      <c r="F1" s="114"/>
      <c r="G1" s="114"/>
    </row>
    <row r="2" spans="1:7" ht="15" thickBot="1" x14ac:dyDescent="0.35">
      <c r="A2" s="113" t="s">
        <v>32</v>
      </c>
      <c r="B2" s="113"/>
      <c r="C2" s="113"/>
      <c r="D2" s="113"/>
      <c r="E2" s="113"/>
      <c r="F2" s="113"/>
      <c r="G2" s="113"/>
    </row>
    <row r="3" spans="1:7" x14ac:dyDescent="0.3">
      <c r="A3" s="2" t="s">
        <v>12</v>
      </c>
      <c r="B3" s="3" t="s">
        <v>13</v>
      </c>
      <c r="C3" s="3" t="s">
        <v>14</v>
      </c>
      <c r="D3" s="3" t="s">
        <v>15</v>
      </c>
      <c r="E3" s="3" t="s">
        <v>16</v>
      </c>
      <c r="F3" s="3" t="s">
        <v>17</v>
      </c>
      <c r="G3" s="1" t="s">
        <v>18</v>
      </c>
    </row>
    <row r="4" spans="1:7" x14ac:dyDescent="0.3">
      <c r="A4" s="6">
        <v>1</v>
      </c>
      <c r="B4" s="5">
        <v>44440</v>
      </c>
      <c r="C4" s="4" t="s">
        <v>19</v>
      </c>
      <c r="D4" s="4" t="s">
        <v>20</v>
      </c>
      <c r="E4" s="4">
        <v>780</v>
      </c>
      <c r="F4" s="4">
        <v>138</v>
      </c>
      <c r="G4" s="7">
        <v>107640</v>
      </c>
    </row>
    <row r="5" spans="1:7" x14ac:dyDescent="0.3">
      <c r="A5" s="6">
        <v>2</v>
      </c>
      <c r="B5" s="5">
        <v>44441</v>
      </c>
      <c r="C5" s="4" t="s">
        <v>21</v>
      </c>
      <c r="D5" s="4" t="s">
        <v>22</v>
      </c>
      <c r="E5" s="4">
        <v>948</v>
      </c>
      <c r="F5" s="4">
        <v>99</v>
      </c>
      <c r="G5" s="7">
        <v>93852</v>
      </c>
    </row>
    <row r="6" spans="1:7" x14ac:dyDescent="0.3">
      <c r="A6" s="6">
        <v>3</v>
      </c>
      <c r="B6" s="5">
        <v>44442</v>
      </c>
      <c r="C6" s="4" t="s">
        <v>23</v>
      </c>
      <c r="D6" s="4" t="s">
        <v>24</v>
      </c>
      <c r="E6" s="4">
        <v>570</v>
      </c>
      <c r="F6" s="4">
        <v>134</v>
      </c>
      <c r="G6" s="7">
        <v>76380</v>
      </c>
    </row>
    <row r="7" spans="1:7" x14ac:dyDescent="0.3">
      <c r="A7" s="6">
        <v>4</v>
      </c>
      <c r="B7" s="5">
        <v>44443</v>
      </c>
      <c r="C7" s="4" t="s">
        <v>25</v>
      </c>
      <c r="D7" s="4" t="s">
        <v>26</v>
      </c>
      <c r="E7" s="4">
        <v>728</v>
      </c>
      <c r="F7" s="4">
        <v>119</v>
      </c>
      <c r="G7" s="7">
        <v>86632</v>
      </c>
    </row>
    <row r="8" spans="1:7" x14ac:dyDescent="0.3">
      <c r="A8" s="6">
        <v>5</v>
      </c>
      <c r="B8" s="5">
        <v>44444</v>
      </c>
      <c r="C8" s="4" t="s">
        <v>19</v>
      </c>
      <c r="D8" s="4" t="s">
        <v>27</v>
      </c>
      <c r="E8" s="4">
        <v>623</v>
      </c>
      <c r="F8" s="4">
        <v>83</v>
      </c>
      <c r="G8" s="7">
        <v>51709</v>
      </c>
    </row>
    <row r="9" spans="1:7" x14ac:dyDescent="0.3">
      <c r="A9" s="6">
        <v>6</v>
      </c>
      <c r="B9" s="5">
        <v>44445</v>
      </c>
      <c r="C9" s="4" t="s">
        <v>21</v>
      </c>
      <c r="D9" s="4" t="s">
        <v>20</v>
      </c>
      <c r="E9" s="4">
        <v>585</v>
      </c>
      <c r="F9" s="4">
        <v>134</v>
      </c>
      <c r="G9" s="7">
        <v>78390</v>
      </c>
    </row>
    <row r="10" spans="1:7" x14ac:dyDescent="0.3">
      <c r="A10" s="6">
        <v>7</v>
      </c>
      <c r="B10" s="5">
        <v>44446</v>
      </c>
      <c r="C10" s="4" t="s">
        <v>23</v>
      </c>
      <c r="D10" s="4" t="s">
        <v>22</v>
      </c>
      <c r="E10" s="4">
        <v>928</v>
      </c>
      <c r="F10" s="4">
        <v>87</v>
      </c>
      <c r="G10" s="7">
        <v>80736</v>
      </c>
    </row>
    <row r="11" spans="1:7" x14ac:dyDescent="0.3">
      <c r="A11" s="6">
        <v>8</v>
      </c>
      <c r="B11" s="5">
        <v>44447</v>
      </c>
      <c r="C11" s="4" t="s">
        <v>25</v>
      </c>
      <c r="D11" s="4" t="s">
        <v>24</v>
      </c>
      <c r="E11" s="4">
        <v>914</v>
      </c>
      <c r="F11" s="4">
        <v>72</v>
      </c>
      <c r="G11" s="7">
        <v>65808</v>
      </c>
    </row>
    <row r="12" spans="1:7" x14ac:dyDescent="0.3">
      <c r="A12" s="6">
        <v>9</v>
      </c>
      <c r="B12" s="5">
        <v>44448</v>
      </c>
      <c r="C12" s="4" t="s">
        <v>19</v>
      </c>
      <c r="D12" s="4" t="s">
        <v>26</v>
      </c>
      <c r="E12" s="4">
        <v>611</v>
      </c>
      <c r="F12" s="4">
        <v>131</v>
      </c>
      <c r="G12" s="7">
        <v>80041</v>
      </c>
    </row>
    <row r="13" spans="1:7" x14ac:dyDescent="0.3">
      <c r="A13" s="6">
        <v>10</v>
      </c>
      <c r="B13" s="5">
        <v>44449</v>
      </c>
      <c r="C13" s="4" t="s">
        <v>21</v>
      </c>
      <c r="D13" s="4" t="s">
        <v>27</v>
      </c>
      <c r="E13" s="4">
        <v>626</v>
      </c>
      <c r="F13" s="4">
        <v>130</v>
      </c>
      <c r="G13" s="7">
        <v>81380</v>
      </c>
    </row>
    <row r="14" spans="1:7" x14ac:dyDescent="0.3">
      <c r="A14" s="6">
        <v>11</v>
      </c>
      <c r="B14" s="5">
        <v>44450</v>
      </c>
      <c r="C14" s="4" t="s">
        <v>23</v>
      </c>
      <c r="D14" s="4" t="s">
        <v>20</v>
      </c>
      <c r="E14" s="4">
        <v>854</v>
      </c>
      <c r="F14" s="4">
        <v>112</v>
      </c>
      <c r="G14" s="7">
        <v>95648</v>
      </c>
    </row>
    <row r="15" spans="1:7" x14ac:dyDescent="0.3">
      <c r="A15" s="6">
        <v>12</v>
      </c>
      <c r="B15" s="5">
        <v>44451</v>
      </c>
      <c r="C15" s="4" t="s">
        <v>25</v>
      </c>
      <c r="D15" s="4" t="s">
        <v>22</v>
      </c>
      <c r="E15" s="4">
        <v>793</v>
      </c>
      <c r="F15" s="4">
        <v>127</v>
      </c>
      <c r="G15" s="7">
        <v>100711</v>
      </c>
    </row>
    <row r="16" spans="1:7" x14ac:dyDescent="0.3">
      <c r="A16" s="6">
        <v>13</v>
      </c>
      <c r="B16" s="5">
        <v>44452</v>
      </c>
      <c r="C16" s="4" t="s">
        <v>19</v>
      </c>
      <c r="D16" s="4" t="s">
        <v>24</v>
      </c>
      <c r="E16" s="4">
        <v>719</v>
      </c>
      <c r="F16" s="4">
        <v>72</v>
      </c>
      <c r="G16" s="7">
        <v>51768</v>
      </c>
    </row>
    <row r="17" spans="1:7" x14ac:dyDescent="0.3">
      <c r="A17" s="6">
        <v>14</v>
      </c>
      <c r="B17" s="5">
        <v>44453</v>
      </c>
      <c r="C17" s="4" t="s">
        <v>21</v>
      </c>
      <c r="D17" s="4" t="s">
        <v>26</v>
      </c>
      <c r="E17" s="4">
        <v>782</v>
      </c>
      <c r="F17" s="4">
        <v>91</v>
      </c>
      <c r="G17" s="7">
        <v>71162</v>
      </c>
    </row>
    <row r="18" spans="1:7" ht="15" thickBot="1" x14ac:dyDescent="0.35">
      <c r="A18" s="8">
        <v>15</v>
      </c>
      <c r="B18" s="9">
        <v>44454</v>
      </c>
      <c r="C18" s="10" t="s">
        <v>23</v>
      </c>
      <c r="D18" s="10" t="s">
        <v>27</v>
      </c>
      <c r="E18" s="10">
        <v>655</v>
      </c>
      <c r="F18" s="10">
        <v>74</v>
      </c>
      <c r="G18" s="11">
        <v>48470</v>
      </c>
    </row>
  </sheetData>
  <mergeCells count="2">
    <mergeCell ref="A2:G2"/>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EBEC-E2D2-4C34-88C9-73C694492E1A}">
  <dimension ref="A1:G71"/>
  <sheetViews>
    <sheetView topLeftCell="A40" workbookViewId="0">
      <selection activeCell="I40" sqref="I40"/>
    </sheetView>
  </sheetViews>
  <sheetFormatPr defaultRowHeight="14.4" x14ac:dyDescent="0.3"/>
  <cols>
    <col min="2" max="2" width="12.44140625" bestFit="1" customWidth="1"/>
    <col min="3" max="3" width="21.44140625" bestFit="1" customWidth="1"/>
    <col min="4" max="4" width="36.5546875" bestFit="1" customWidth="1"/>
  </cols>
  <sheetData>
    <row r="1" spans="1:7" x14ac:dyDescent="0.3">
      <c r="A1" s="114" t="s">
        <v>33</v>
      </c>
      <c r="B1" s="114"/>
      <c r="C1" s="114"/>
      <c r="D1" s="114"/>
      <c r="E1" s="114"/>
      <c r="F1" s="114"/>
      <c r="G1" s="114"/>
    </row>
    <row r="2" spans="1:7" ht="15" thickBot="1" x14ac:dyDescent="0.35">
      <c r="A2" s="113" t="s">
        <v>32</v>
      </c>
      <c r="B2" s="113"/>
      <c r="C2" s="113"/>
      <c r="D2" s="113"/>
      <c r="E2" s="113"/>
      <c r="F2" s="113"/>
      <c r="G2" s="113"/>
    </row>
    <row r="3" spans="1:7" x14ac:dyDescent="0.3">
      <c r="A3" s="2" t="s">
        <v>12</v>
      </c>
      <c r="B3" s="3" t="s">
        <v>13</v>
      </c>
      <c r="C3" s="3" t="s">
        <v>14</v>
      </c>
      <c r="D3" s="3" t="s">
        <v>15</v>
      </c>
      <c r="E3" s="3" t="s">
        <v>16</v>
      </c>
      <c r="F3" s="3" t="s">
        <v>17</v>
      </c>
      <c r="G3" s="1" t="s">
        <v>18</v>
      </c>
    </row>
    <row r="4" spans="1:7" x14ac:dyDescent="0.3">
      <c r="A4" s="6">
        <v>1</v>
      </c>
      <c r="B4" s="5">
        <v>44440</v>
      </c>
      <c r="C4" s="4" t="s">
        <v>19</v>
      </c>
      <c r="D4" s="4" t="s">
        <v>20</v>
      </c>
      <c r="E4" s="4">
        <v>780</v>
      </c>
      <c r="F4" s="4">
        <v>138</v>
      </c>
      <c r="G4" s="7">
        <v>107640</v>
      </c>
    </row>
    <row r="5" spans="1:7" x14ac:dyDescent="0.3">
      <c r="A5" s="6">
        <v>2</v>
      </c>
      <c r="B5" s="5">
        <v>44441</v>
      </c>
      <c r="C5" s="4" t="s">
        <v>21</v>
      </c>
      <c r="D5" s="4" t="s">
        <v>22</v>
      </c>
      <c r="E5" s="4">
        <v>948</v>
      </c>
      <c r="F5" s="4">
        <v>99</v>
      </c>
      <c r="G5" s="7">
        <v>93852</v>
      </c>
    </row>
    <row r="6" spans="1:7" x14ac:dyDescent="0.3">
      <c r="A6" s="6">
        <v>3</v>
      </c>
      <c r="B6" s="5">
        <v>44442</v>
      </c>
      <c r="C6" s="4" t="s">
        <v>23</v>
      </c>
      <c r="D6" s="4" t="s">
        <v>24</v>
      </c>
      <c r="E6" s="4">
        <v>570</v>
      </c>
      <c r="F6" s="4">
        <v>134</v>
      </c>
      <c r="G6" s="7">
        <v>76380</v>
      </c>
    </row>
    <row r="7" spans="1:7" x14ac:dyDescent="0.3">
      <c r="A7" s="6">
        <v>4</v>
      </c>
      <c r="B7" s="5">
        <v>44443</v>
      </c>
      <c r="C7" s="4" t="s">
        <v>25</v>
      </c>
      <c r="D7" s="4" t="s">
        <v>26</v>
      </c>
      <c r="E7" s="4">
        <v>728</v>
      </c>
      <c r="F7" s="4">
        <v>119</v>
      </c>
      <c r="G7" s="7">
        <v>86632</v>
      </c>
    </row>
    <row r="8" spans="1:7" x14ac:dyDescent="0.3">
      <c r="A8" s="6">
        <v>5</v>
      </c>
      <c r="B8" s="5">
        <v>44444</v>
      </c>
      <c r="C8" s="4" t="s">
        <v>19</v>
      </c>
      <c r="D8" s="4" t="s">
        <v>27</v>
      </c>
      <c r="E8" s="4">
        <v>623</v>
      </c>
      <c r="F8" s="4">
        <v>83</v>
      </c>
      <c r="G8" s="7">
        <v>51709</v>
      </c>
    </row>
    <row r="9" spans="1:7" x14ac:dyDescent="0.3">
      <c r="A9" s="6">
        <v>6</v>
      </c>
      <c r="B9" s="5">
        <v>44445</v>
      </c>
      <c r="C9" s="4" t="s">
        <v>21</v>
      </c>
      <c r="D9" s="4" t="s">
        <v>20</v>
      </c>
      <c r="E9" s="4">
        <v>585</v>
      </c>
      <c r="F9" s="4">
        <v>134</v>
      </c>
      <c r="G9" s="7">
        <v>78390</v>
      </c>
    </row>
    <row r="10" spans="1:7" x14ac:dyDescent="0.3">
      <c r="A10" s="6">
        <v>7</v>
      </c>
      <c r="B10" s="5">
        <v>44446</v>
      </c>
      <c r="C10" s="4" t="s">
        <v>23</v>
      </c>
      <c r="D10" s="4" t="s">
        <v>22</v>
      </c>
      <c r="E10" s="4">
        <v>928</v>
      </c>
      <c r="F10" s="4">
        <v>87</v>
      </c>
      <c r="G10" s="7">
        <v>80736</v>
      </c>
    </row>
    <row r="11" spans="1:7" x14ac:dyDescent="0.3">
      <c r="A11" s="6">
        <v>8</v>
      </c>
      <c r="B11" s="5">
        <v>44447</v>
      </c>
      <c r="C11" s="4" t="s">
        <v>25</v>
      </c>
      <c r="D11" s="4" t="s">
        <v>24</v>
      </c>
      <c r="E11" s="4">
        <v>914</v>
      </c>
      <c r="F11" s="4">
        <v>72</v>
      </c>
      <c r="G11" s="7">
        <v>65808</v>
      </c>
    </row>
    <row r="12" spans="1:7" x14ac:dyDescent="0.3">
      <c r="A12" s="6">
        <v>9</v>
      </c>
      <c r="B12" s="5">
        <v>44448</v>
      </c>
      <c r="C12" s="4" t="s">
        <v>19</v>
      </c>
      <c r="D12" s="4" t="s">
        <v>26</v>
      </c>
      <c r="E12" s="4">
        <v>611</v>
      </c>
      <c r="F12" s="4">
        <v>131</v>
      </c>
      <c r="G12" s="7">
        <v>80041</v>
      </c>
    </row>
    <row r="13" spans="1:7" x14ac:dyDescent="0.3">
      <c r="A13" s="6">
        <v>10</v>
      </c>
      <c r="B13" s="5">
        <v>44449</v>
      </c>
      <c r="C13" s="4" t="s">
        <v>21</v>
      </c>
      <c r="D13" s="4" t="s">
        <v>27</v>
      </c>
      <c r="E13" s="4">
        <v>626</v>
      </c>
      <c r="F13" s="4">
        <v>130</v>
      </c>
      <c r="G13" s="7">
        <v>81380</v>
      </c>
    </row>
    <row r="14" spans="1:7" x14ac:dyDescent="0.3">
      <c r="A14" s="6">
        <v>11</v>
      </c>
      <c r="B14" s="5">
        <v>44450</v>
      </c>
      <c r="C14" s="4" t="s">
        <v>23</v>
      </c>
      <c r="D14" s="4" t="s">
        <v>20</v>
      </c>
      <c r="E14" s="4">
        <v>854</v>
      </c>
      <c r="F14" s="4">
        <v>112</v>
      </c>
      <c r="G14" s="7">
        <v>95648</v>
      </c>
    </row>
    <row r="15" spans="1:7" x14ac:dyDescent="0.3">
      <c r="A15" s="6">
        <v>12</v>
      </c>
      <c r="B15" s="5">
        <v>44451</v>
      </c>
      <c r="C15" s="4" t="s">
        <v>25</v>
      </c>
      <c r="D15" s="4" t="s">
        <v>22</v>
      </c>
      <c r="E15" s="4">
        <v>793</v>
      </c>
      <c r="F15" s="4">
        <v>127</v>
      </c>
      <c r="G15" s="7">
        <v>100711</v>
      </c>
    </row>
    <row r="16" spans="1:7" x14ac:dyDescent="0.3">
      <c r="A16" s="6">
        <v>13</v>
      </c>
      <c r="B16" s="5">
        <v>44452</v>
      </c>
      <c r="C16" s="4" t="s">
        <v>19</v>
      </c>
      <c r="D16" s="4" t="s">
        <v>24</v>
      </c>
      <c r="E16" s="4">
        <v>719</v>
      </c>
      <c r="F16" s="4">
        <v>72</v>
      </c>
      <c r="G16" s="7">
        <v>51768</v>
      </c>
    </row>
    <row r="17" spans="1:7" x14ac:dyDescent="0.3">
      <c r="A17" s="6">
        <v>14</v>
      </c>
      <c r="B17" s="5">
        <v>44453</v>
      </c>
      <c r="C17" s="4" t="s">
        <v>21</v>
      </c>
      <c r="D17" s="4" t="s">
        <v>26</v>
      </c>
      <c r="E17" s="4">
        <v>782</v>
      </c>
      <c r="F17" s="4">
        <v>91</v>
      </c>
      <c r="G17" s="7">
        <v>71162</v>
      </c>
    </row>
    <row r="18" spans="1:7" ht="15" thickBot="1" x14ac:dyDescent="0.35">
      <c r="A18" s="8">
        <v>15</v>
      </c>
      <c r="B18" s="9">
        <v>44454</v>
      </c>
      <c r="C18" s="10" t="s">
        <v>23</v>
      </c>
      <c r="D18" s="10" t="s">
        <v>27</v>
      </c>
      <c r="E18" s="10">
        <v>655</v>
      </c>
      <c r="F18" s="10">
        <v>74</v>
      </c>
      <c r="G18" s="11">
        <v>48470</v>
      </c>
    </row>
    <row r="54" spans="1:7" x14ac:dyDescent="0.3">
      <c r="A54" s="114" t="s">
        <v>33</v>
      </c>
      <c r="B54" s="114"/>
      <c r="C54" s="114"/>
      <c r="D54" s="114"/>
      <c r="E54" s="114"/>
      <c r="F54" s="114"/>
      <c r="G54" s="114"/>
    </row>
    <row r="55" spans="1:7" ht="15" thickBot="1" x14ac:dyDescent="0.35">
      <c r="A55" s="113" t="s">
        <v>32</v>
      </c>
      <c r="B55" s="113"/>
      <c r="C55" s="113"/>
      <c r="D55" s="113"/>
      <c r="E55" s="113"/>
      <c r="F55" s="113"/>
      <c r="G55" s="113"/>
    </row>
    <row r="56" spans="1:7" x14ac:dyDescent="0.3">
      <c r="A56" s="2" t="s">
        <v>12</v>
      </c>
      <c r="B56" s="3" t="s">
        <v>13</v>
      </c>
      <c r="C56" s="3" t="s">
        <v>14</v>
      </c>
      <c r="D56" s="3" t="s">
        <v>15</v>
      </c>
      <c r="E56" s="3" t="s">
        <v>16</v>
      </c>
      <c r="F56" s="3" t="s">
        <v>17</v>
      </c>
      <c r="G56" s="1" t="s">
        <v>18</v>
      </c>
    </row>
    <row r="57" spans="1:7" x14ac:dyDescent="0.3">
      <c r="A57" s="6">
        <v>1</v>
      </c>
      <c r="B57" s="5">
        <v>44440</v>
      </c>
      <c r="C57" s="4" t="s">
        <v>19</v>
      </c>
      <c r="D57" s="4" t="s">
        <v>20</v>
      </c>
      <c r="E57" s="4">
        <v>780</v>
      </c>
      <c r="F57" s="4">
        <v>138</v>
      </c>
      <c r="G57" s="7">
        <v>107640</v>
      </c>
    </row>
    <row r="58" spans="1:7" x14ac:dyDescent="0.3">
      <c r="A58" s="6">
        <v>2</v>
      </c>
      <c r="B58" s="5">
        <v>44441</v>
      </c>
      <c r="C58" s="4" t="s">
        <v>21</v>
      </c>
      <c r="D58" s="4" t="s">
        <v>22</v>
      </c>
      <c r="E58" s="4">
        <v>948</v>
      </c>
      <c r="F58" s="4">
        <v>99</v>
      </c>
      <c r="G58" s="7">
        <v>93852</v>
      </c>
    </row>
    <row r="59" spans="1:7" x14ac:dyDescent="0.3">
      <c r="A59" s="6">
        <v>3</v>
      </c>
      <c r="B59" s="5">
        <v>44442</v>
      </c>
      <c r="C59" s="4" t="s">
        <v>23</v>
      </c>
      <c r="D59" s="4" t="s">
        <v>24</v>
      </c>
      <c r="E59" s="4">
        <v>570</v>
      </c>
      <c r="F59" s="4">
        <v>134</v>
      </c>
      <c r="G59" s="7">
        <v>76380</v>
      </c>
    </row>
    <row r="60" spans="1:7" x14ac:dyDescent="0.3">
      <c r="A60" s="6">
        <v>4</v>
      </c>
      <c r="B60" s="5">
        <v>44443</v>
      </c>
      <c r="C60" s="4" t="s">
        <v>25</v>
      </c>
      <c r="D60" s="4" t="s">
        <v>26</v>
      </c>
      <c r="E60" s="4">
        <v>728</v>
      </c>
      <c r="F60" s="4">
        <v>119</v>
      </c>
      <c r="G60" s="7">
        <v>86632</v>
      </c>
    </row>
    <row r="61" spans="1:7" x14ac:dyDescent="0.3">
      <c r="A61" s="6">
        <v>5</v>
      </c>
      <c r="B61" s="5">
        <v>44444</v>
      </c>
      <c r="C61" s="4" t="s">
        <v>19</v>
      </c>
      <c r="D61" s="4" t="s">
        <v>27</v>
      </c>
      <c r="E61" s="4">
        <v>623</v>
      </c>
      <c r="F61" s="4">
        <v>83</v>
      </c>
      <c r="G61" s="7">
        <v>51709</v>
      </c>
    </row>
    <row r="62" spans="1:7" x14ac:dyDescent="0.3">
      <c r="A62" s="6">
        <v>6</v>
      </c>
      <c r="B62" s="5">
        <v>44445</v>
      </c>
      <c r="C62" s="4" t="s">
        <v>21</v>
      </c>
      <c r="D62" s="4" t="s">
        <v>20</v>
      </c>
      <c r="E62" s="4">
        <v>585</v>
      </c>
      <c r="F62" s="4">
        <v>134</v>
      </c>
      <c r="G62" s="7">
        <v>78390</v>
      </c>
    </row>
    <row r="63" spans="1:7" x14ac:dyDescent="0.3">
      <c r="A63" s="6">
        <v>7</v>
      </c>
      <c r="B63" s="5">
        <v>44446</v>
      </c>
      <c r="C63" s="4" t="s">
        <v>23</v>
      </c>
      <c r="D63" s="4" t="s">
        <v>22</v>
      </c>
      <c r="E63" s="4">
        <v>928</v>
      </c>
      <c r="F63" s="4">
        <v>87</v>
      </c>
      <c r="G63" s="7">
        <v>80736</v>
      </c>
    </row>
    <row r="64" spans="1:7" x14ac:dyDescent="0.3">
      <c r="A64" s="6">
        <v>8</v>
      </c>
      <c r="B64" s="5">
        <v>44447</v>
      </c>
      <c r="C64" s="4" t="s">
        <v>25</v>
      </c>
      <c r="D64" s="4" t="s">
        <v>24</v>
      </c>
      <c r="E64" s="4">
        <v>914</v>
      </c>
      <c r="F64" s="4">
        <v>72</v>
      </c>
      <c r="G64" s="7">
        <v>65808</v>
      </c>
    </row>
    <row r="65" spans="1:7" x14ac:dyDescent="0.3">
      <c r="A65" s="6">
        <v>9</v>
      </c>
      <c r="B65" s="5">
        <v>44448</v>
      </c>
      <c r="C65" s="4" t="s">
        <v>19</v>
      </c>
      <c r="D65" s="4" t="s">
        <v>26</v>
      </c>
      <c r="E65" s="4">
        <v>611</v>
      </c>
      <c r="F65" s="4">
        <v>131</v>
      </c>
      <c r="G65" s="7">
        <v>80041</v>
      </c>
    </row>
    <row r="66" spans="1:7" x14ac:dyDescent="0.3">
      <c r="A66" s="6">
        <v>10</v>
      </c>
      <c r="B66" s="5">
        <v>44449</v>
      </c>
      <c r="C66" s="4" t="s">
        <v>21</v>
      </c>
      <c r="D66" s="4" t="s">
        <v>27</v>
      </c>
      <c r="E66" s="4">
        <v>626</v>
      </c>
      <c r="F66" s="4">
        <v>130</v>
      </c>
      <c r="G66" s="7">
        <v>81380</v>
      </c>
    </row>
    <row r="67" spans="1:7" x14ac:dyDescent="0.3">
      <c r="A67" s="6">
        <v>11</v>
      </c>
      <c r="B67" s="5">
        <v>44450</v>
      </c>
      <c r="C67" s="4" t="s">
        <v>23</v>
      </c>
      <c r="D67" s="4" t="s">
        <v>20</v>
      </c>
      <c r="E67" s="4">
        <v>854</v>
      </c>
      <c r="F67" s="4">
        <v>112</v>
      </c>
      <c r="G67" s="7">
        <v>95648</v>
      </c>
    </row>
    <row r="68" spans="1:7" x14ac:dyDescent="0.3">
      <c r="A68" s="6">
        <v>12</v>
      </c>
      <c r="B68" s="5">
        <v>44451</v>
      </c>
      <c r="C68" s="4" t="s">
        <v>25</v>
      </c>
      <c r="D68" s="4" t="s">
        <v>22</v>
      </c>
      <c r="E68" s="4">
        <v>793</v>
      </c>
      <c r="F68" s="4">
        <v>127</v>
      </c>
      <c r="G68" s="7">
        <v>100711</v>
      </c>
    </row>
    <row r="69" spans="1:7" x14ac:dyDescent="0.3">
      <c r="A69" s="6">
        <v>13</v>
      </c>
      <c r="B69" s="5">
        <v>44452</v>
      </c>
      <c r="C69" s="4" t="s">
        <v>19</v>
      </c>
      <c r="D69" s="4" t="s">
        <v>24</v>
      </c>
      <c r="E69" s="4">
        <v>719</v>
      </c>
      <c r="F69" s="4">
        <v>72</v>
      </c>
      <c r="G69" s="7">
        <v>51768</v>
      </c>
    </row>
    <row r="70" spans="1:7" x14ac:dyDescent="0.3">
      <c r="A70" s="6">
        <v>14</v>
      </c>
      <c r="B70" s="5">
        <v>44453</v>
      </c>
      <c r="C70" s="4" t="s">
        <v>21</v>
      </c>
      <c r="D70" s="4" t="s">
        <v>26</v>
      </c>
      <c r="E70" s="4">
        <v>782</v>
      </c>
      <c r="F70" s="4">
        <v>91</v>
      </c>
      <c r="G70" s="7">
        <v>71162</v>
      </c>
    </row>
    <row r="71" spans="1:7" ht="15" thickBot="1" x14ac:dyDescent="0.35">
      <c r="A71" s="8">
        <v>15</v>
      </c>
      <c r="B71" s="9">
        <v>44454</v>
      </c>
      <c r="C71" s="10" t="s">
        <v>23</v>
      </c>
      <c r="D71" s="10" t="s">
        <v>27</v>
      </c>
      <c r="E71" s="10">
        <v>655</v>
      </c>
      <c r="F71" s="10">
        <v>74</v>
      </c>
      <c r="G71" s="11">
        <v>48470</v>
      </c>
    </row>
  </sheetData>
  <mergeCells count="4">
    <mergeCell ref="A54:G54"/>
    <mergeCell ref="A55:G55"/>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EADE-0887-4433-A4CE-DE45E55D48C6}">
  <dimension ref="E12:H16"/>
  <sheetViews>
    <sheetView zoomScale="158" workbookViewId="0">
      <selection activeCell="D3" sqref="D3"/>
    </sheetView>
  </sheetViews>
  <sheetFormatPr defaultRowHeight="14.4" x14ac:dyDescent="0.3"/>
  <sheetData>
    <row r="12" spans="5:8" ht="43.2" x14ac:dyDescent="0.3">
      <c r="E12" s="13" t="s">
        <v>34</v>
      </c>
    </row>
    <row r="14" spans="5:8" x14ac:dyDescent="0.3">
      <c r="H14" s="25" t="s">
        <v>34</v>
      </c>
    </row>
    <row r="16" spans="5:8" ht="28.8" x14ac:dyDescent="0.3">
      <c r="E16" s="13" t="s">
        <v>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592E-CF3C-484B-ADFA-F6116B4CE8A8}">
  <dimension ref="A1:M55"/>
  <sheetViews>
    <sheetView topLeftCell="A41" workbookViewId="0">
      <selection activeCell="E54" sqref="E54:E55"/>
    </sheetView>
  </sheetViews>
  <sheetFormatPr defaultRowHeight="14.4" x14ac:dyDescent="0.3"/>
  <cols>
    <col min="2" max="2" width="14.77734375" bestFit="1" customWidth="1"/>
    <col min="8" max="8" width="8.88671875" style="12"/>
  </cols>
  <sheetData>
    <row r="1" spans="1:13" x14ac:dyDescent="0.3">
      <c r="A1" s="116" t="s">
        <v>53</v>
      </c>
      <c r="B1" s="117"/>
      <c r="C1" s="117"/>
      <c r="D1" s="117"/>
      <c r="E1" s="117"/>
      <c r="F1" s="117"/>
      <c r="G1" s="117"/>
      <c r="H1" s="117"/>
      <c r="I1" s="117"/>
      <c r="J1" s="117"/>
      <c r="K1" s="117"/>
      <c r="L1" s="117"/>
      <c r="M1" s="118"/>
    </row>
    <row r="2" spans="1:13" ht="15.6" x14ac:dyDescent="0.3">
      <c r="A2" s="27" t="s">
        <v>36</v>
      </c>
      <c r="B2" s="27" t="s">
        <v>37</v>
      </c>
      <c r="C2" s="27" t="s">
        <v>38</v>
      </c>
      <c r="D2" s="27" t="s">
        <v>39</v>
      </c>
      <c r="E2" s="27" t="s">
        <v>40</v>
      </c>
      <c r="F2" s="27" t="s">
        <v>41</v>
      </c>
      <c r="G2" s="28" t="s">
        <v>42</v>
      </c>
      <c r="H2" s="29" t="s">
        <v>42</v>
      </c>
      <c r="I2" s="31" t="s">
        <v>42</v>
      </c>
      <c r="J2" s="27" t="s">
        <v>42</v>
      </c>
      <c r="K2" s="29" t="s">
        <v>42</v>
      </c>
      <c r="L2" s="30" t="s">
        <v>42</v>
      </c>
      <c r="M2" s="32" t="s">
        <v>54</v>
      </c>
    </row>
    <row r="3" spans="1:13" ht="15.6" x14ac:dyDescent="0.3">
      <c r="A3" s="26">
        <v>1</v>
      </c>
      <c r="B3" s="19" t="s">
        <v>43</v>
      </c>
      <c r="C3" s="26">
        <v>90</v>
      </c>
      <c r="D3" s="26">
        <v>27</v>
      </c>
      <c r="E3" s="26">
        <v>10</v>
      </c>
      <c r="F3" s="26">
        <v>47</v>
      </c>
      <c r="G3" s="26">
        <f>C3+D3+E3+F3</f>
        <v>174</v>
      </c>
      <c r="H3" s="4">
        <f>90+27+10+47</f>
        <v>174</v>
      </c>
      <c r="I3" s="19">
        <f>SUM(C3:F3)</f>
        <v>174</v>
      </c>
      <c r="J3" s="19">
        <f>SUM(C3:F3)</f>
        <v>174</v>
      </c>
      <c r="K3" s="4">
        <f>SUM(C3,F1)</f>
        <v>90</v>
      </c>
      <c r="L3" s="4">
        <f>SUM(C3:F3)</f>
        <v>174</v>
      </c>
      <c r="M3" s="4">
        <f>400-G3</f>
        <v>226</v>
      </c>
    </row>
    <row r="4" spans="1:13" ht="15.6" x14ac:dyDescent="0.3">
      <c r="A4" s="26">
        <v>2</v>
      </c>
      <c r="B4" s="19" t="s">
        <v>44</v>
      </c>
      <c r="C4" s="26">
        <v>17</v>
      </c>
      <c r="D4" s="26">
        <v>84</v>
      </c>
      <c r="E4" s="26">
        <v>0</v>
      </c>
      <c r="F4" s="26">
        <v>49</v>
      </c>
      <c r="G4" s="26">
        <f t="shared" ref="G4:G12" si="0">C4+D4+E4+F4</f>
        <v>150</v>
      </c>
      <c r="H4" s="4">
        <f t="shared" ref="H4:H12" si="1">90+27+10+47</f>
        <v>174</v>
      </c>
      <c r="I4" s="19">
        <f t="shared" ref="I4:I12" si="2">SUM(C4:F4)</f>
        <v>150</v>
      </c>
      <c r="J4" s="19">
        <f t="shared" ref="J4:J12" si="3">SUM(C4:F4)</f>
        <v>150</v>
      </c>
      <c r="K4" s="4">
        <f t="shared" ref="K4:K12" si="4">SUM(C4,F2)</f>
        <v>17</v>
      </c>
      <c r="L4" s="4">
        <f t="shared" ref="L4:L12" si="5">SUM(C4:F4)</f>
        <v>150</v>
      </c>
      <c r="M4" s="4">
        <f t="shared" ref="M4:M12" si="6">400-G4</f>
        <v>250</v>
      </c>
    </row>
    <row r="5" spans="1:13" ht="15.6" x14ac:dyDescent="0.3">
      <c r="A5" s="26">
        <v>3</v>
      </c>
      <c r="B5" s="19" t="s">
        <v>45</v>
      </c>
      <c r="C5" s="26">
        <v>35</v>
      </c>
      <c r="D5" s="26">
        <v>8</v>
      </c>
      <c r="E5" s="26">
        <v>32</v>
      </c>
      <c r="F5" s="26">
        <v>33</v>
      </c>
      <c r="G5" s="26">
        <f t="shared" si="0"/>
        <v>108</v>
      </c>
      <c r="H5" s="4">
        <f t="shared" si="1"/>
        <v>174</v>
      </c>
      <c r="I5" s="19">
        <f t="shared" si="2"/>
        <v>108</v>
      </c>
      <c r="J5" s="19">
        <f t="shared" si="3"/>
        <v>108</v>
      </c>
      <c r="K5" s="4">
        <f t="shared" si="4"/>
        <v>82</v>
      </c>
      <c r="L5" s="4">
        <f t="shared" si="5"/>
        <v>108</v>
      </c>
      <c r="M5" s="4">
        <f t="shared" si="6"/>
        <v>292</v>
      </c>
    </row>
    <row r="6" spans="1:13" ht="15.6" x14ac:dyDescent="0.3">
      <c r="A6" s="26">
        <v>4</v>
      </c>
      <c r="B6" s="19" t="s">
        <v>46</v>
      </c>
      <c r="C6" s="26">
        <v>83</v>
      </c>
      <c r="D6" s="26">
        <v>35</v>
      </c>
      <c r="E6" s="26">
        <v>26</v>
      </c>
      <c r="F6" s="26">
        <v>18</v>
      </c>
      <c r="G6" s="26">
        <f t="shared" si="0"/>
        <v>162</v>
      </c>
      <c r="H6" s="4">
        <f t="shared" si="1"/>
        <v>174</v>
      </c>
      <c r="I6" s="19">
        <f t="shared" si="2"/>
        <v>162</v>
      </c>
      <c r="J6" s="19">
        <f t="shared" si="3"/>
        <v>162</v>
      </c>
      <c r="K6" s="4">
        <f t="shared" si="4"/>
        <v>132</v>
      </c>
      <c r="L6" s="4">
        <f t="shared" si="5"/>
        <v>162</v>
      </c>
      <c r="M6" s="4">
        <f t="shared" si="6"/>
        <v>238</v>
      </c>
    </row>
    <row r="7" spans="1:13" ht="15.6" x14ac:dyDescent="0.3">
      <c r="A7" s="26">
        <v>5</v>
      </c>
      <c r="B7" s="19" t="s">
        <v>47</v>
      </c>
      <c r="C7" s="26">
        <v>74</v>
      </c>
      <c r="D7" s="26">
        <v>68</v>
      </c>
      <c r="E7" s="26">
        <v>27</v>
      </c>
      <c r="F7" s="26">
        <v>32</v>
      </c>
      <c r="G7" s="26">
        <f t="shared" si="0"/>
        <v>201</v>
      </c>
      <c r="H7" s="4">
        <f t="shared" si="1"/>
        <v>174</v>
      </c>
      <c r="I7" s="19">
        <f t="shared" si="2"/>
        <v>201</v>
      </c>
      <c r="J7" s="19">
        <f t="shared" si="3"/>
        <v>201</v>
      </c>
      <c r="K7" s="4">
        <f t="shared" si="4"/>
        <v>107</v>
      </c>
      <c r="L7" s="4">
        <f t="shared" si="5"/>
        <v>201</v>
      </c>
      <c r="M7" s="4">
        <f t="shared" si="6"/>
        <v>199</v>
      </c>
    </row>
    <row r="8" spans="1:13" ht="15.6" x14ac:dyDescent="0.3">
      <c r="A8" s="26">
        <v>6</v>
      </c>
      <c r="B8" s="19" t="s">
        <v>48</v>
      </c>
      <c r="C8" s="26">
        <v>34</v>
      </c>
      <c r="D8" s="26">
        <v>63</v>
      </c>
      <c r="E8" s="26">
        <v>73</v>
      </c>
      <c r="F8" s="26">
        <v>87</v>
      </c>
      <c r="G8" s="26">
        <f t="shared" si="0"/>
        <v>257</v>
      </c>
      <c r="H8" s="4">
        <f t="shared" si="1"/>
        <v>174</v>
      </c>
      <c r="I8" s="19">
        <f t="shared" si="2"/>
        <v>257</v>
      </c>
      <c r="J8" s="19">
        <f t="shared" si="3"/>
        <v>257</v>
      </c>
      <c r="K8" s="4">
        <f t="shared" si="4"/>
        <v>52</v>
      </c>
      <c r="L8" s="4">
        <f t="shared" si="5"/>
        <v>257</v>
      </c>
      <c r="M8" s="4">
        <f t="shared" si="6"/>
        <v>143</v>
      </c>
    </row>
    <row r="9" spans="1:13" ht="15.6" x14ac:dyDescent="0.3">
      <c r="A9" s="26">
        <v>7</v>
      </c>
      <c r="B9" s="19" t="s">
        <v>49</v>
      </c>
      <c r="C9" s="26">
        <v>34</v>
      </c>
      <c r="D9" s="26">
        <v>5</v>
      </c>
      <c r="E9" s="26">
        <v>63</v>
      </c>
      <c r="F9" s="26">
        <v>51</v>
      </c>
      <c r="G9" s="26">
        <f t="shared" si="0"/>
        <v>153</v>
      </c>
      <c r="H9" s="4">
        <f t="shared" si="1"/>
        <v>174</v>
      </c>
      <c r="I9" s="19">
        <f t="shared" si="2"/>
        <v>153</v>
      </c>
      <c r="J9" s="19">
        <f t="shared" si="3"/>
        <v>153</v>
      </c>
      <c r="K9" s="4">
        <f t="shared" si="4"/>
        <v>66</v>
      </c>
      <c r="L9" s="4">
        <f t="shared" si="5"/>
        <v>153</v>
      </c>
      <c r="M9" s="4">
        <f t="shared" si="6"/>
        <v>247</v>
      </c>
    </row>
    <row r="10" spans="1:13" ht="15.6" x14ac:dyDescent="0.3">
      <c r="A10" s="26">
        <v>8</v>
      </c>
      <c r="B10" s="19" t="s">
        <v>50</v>
      </c>
      <c r="C10" s="26">
        <v>65</v>
      </c>
      <c r="D10" s="26">
        <v>69</v>
      </c>
      <c r="E10" s="26">
        <v>54</v>
      </c>
      <c r="F10" s="26">
        <v>0</v>
      </c>
      <c r="G10" s="26">
        <f t="shared" si="0"/>
        <v>188</v>
      </c>
      <c r="H10" s="4">
        <f t="shared" si="1"/>
        <v>174</v>
      </c>
      <c r="I10" s="19">
        <f t="shared" si="2"/>
        <v>188</v>
      </c>
      <c r="J10" s="19">
        <f t="shared" si="3"/>
        <v>188</v>
      </c>
      <c r="K10" s="4">
        <f t="shared" si="4"/>
        <v>152</v>
      </c>
      <c r="L10" s="4">
        <f t="shared" si="5"/>
        <v>188</v>
      </c>
      <c r="M10" s="4">
        <f t="shared" si="6"/>
        <v>212</v>
      </c>
    </row>
    <row r="11" spans="1:13" ht="15.6" x14ac:dyDescent="0.3">
      <c r="A11" s="26">
        <v>9</v>
      </c>
      <c r="B11" s="19" t="s">
        <v>51</v>
      </c>
      <c r="C11" s="26">
        <v>61</v>
      </c>
      <c r="D11" s="26">
        <v>13</v>
      </c>
      <c r="E11" s="26">
        <v>85</v>
      </c>
      <c r="F11" s="26">
        <v>60</v>
      </c>
      <c r="G11" s="26">
        <f t="shared" si="0"/>
        <v>219</v>
      </c>
      <c r="H11" s="4">
        <f t="shared" si="1"/>
        <v>174</v>
      </c>
      <c r="I11" s="19">
        <f t="shared" si="2"/>
        <v>219</v>
      </c>
      <c r="J11" s="19">
        <f t="shared" si="3"/>
        <v>219</v>
      </c>
      <c r="K11" s="4">
        <f t="shared" si="4"/>
        <v>112</v>
      </c>
      <c r="L11" s="4">
        <f t="shared" si="5"/>
        <v>219</v>
      </c>
      <c r="M11" s="4">
        <f t="shared" si="6"/>
        <v>181</v>
      </c>
    </row>
    <row r="12" spans="1:13" ht="15.6" x14ac:dyDescent="0.3">
      <c r="A12" s="26">
        <v>10</v>
      </c>
      <c r="B12" s="19" t="s">
        <v>52</v>
      </c>
      <c r="C12" s="26">
        <v>82</v>
      </c>
      <c r="D12" s="26">
        <v>53</v>
      </c>
      <c r="E12" s="26">
        <v>75</v>
      </c>
      <c r="F12" s="26">
        <v>25</v>
      </c>
      <c r="G12" s="26">
        <f t="shared" si="0"/>
        <v>235</v>
      </c>
      <c r="H12" s="4">
        <f t="shared" si="1"/>
        <v>174</v>
      </c>
      <c r="I12" s="19">
        <f t="shared" si="2"/>
        <v>235</v>
      </c>
      <c r="J12" s="19">
        <f t="shared" si="3"/>
        <v>235</v>
      </c>
      <c r="K12" s="4">
        <f t="shared" si="4"/>
        <v>82</v>
      </c>
      <c r="L12" s="4">
        <f t="shared" si="5"/>
        <v>235</v>
      </c>
      <c r="M12" s="4">
        <f t="shared" si="6"/>
        <v>165</v>
      </c>
    </row>
    <row r="25" spans="1:5" ht="18.600000000000001" thickBot="1" x14ac:dyDescent="0.4">
      <c r="A25" s="115" t="s">
        <v>55</v>
      </c>
      <c r="B25" s="115"/>
      <c r="C25" s="115"/>
      <c r="D25" s="115"/>
      <c r="E25" s="115"/>
    </row>
    <row r="26" spans="1:5" ht="15.6" x14ac:dyDescent="0.3">
      <c r="A26" s="36" t="s">
        <v>36</v>
      </c>
      <c r="B26" s="37" t="s">
        <v>56</v>
      </c>
      <c r="C26" s="37" t="s">
        <v>57</v>
      </c>
      <c r="D26" s="37" t="s">
        <v>58</v>
      </c>
      <c r="E26" s="38" t="s">
        <v>59</v>
      </c>
    </row>
    <row r="27" spans="1:5" ht="15.6" x14ac:dyDescent="0.3">
      <c r="A27" s="33">
        <v>1</v>
      </c>
      <c r="B27" s="19" t="s">
        <v>43</v>
      </c>
      <c r="C27" s="26">
        <v>442</v>
      </c>
      <c r="D27" s="26">
        <v>985</v>
      </c>
      <c r="E27" s="39">
        <f>C27*D27</f>
        <v>435370</v>
      </c>
    </row>
    <row r="28" spans="1:5" ht="15.6" x14ac:dyDescent="0.3">
      <c r="A28" s="33">
        <v>2</v>
      </c>
      <c r="B28" s="19" t="s">
        <v>44</v>
      </c>
      <c r="C28" s="26">
        <v>260</v>
      </c>
      <c r="D28" s="26">
        <v>727</v>
      </c>
      <c r="E28" s="39">
        <f t="shared" ref="E28:E36" si="7">C28*D28</f>
        <v>189020</v>
      </c>
    </row>
    <row r="29" spans="1:5" ht="15.6" x14ac:dyDescent="0.3">
      <c r="A29" s="33">
        <v>3</v>
      </c>
      <c r="B29" s="19" t="s">
        <v>45</v>
      </c>
      <c r="C29" s="26">
        <v>367</v>
      </c>
      <c r="D29" s="26">
        <v>678</v>
      </c>
      <c r="E29" s="39">
        <f t="shared" si="7"/>
        <v>248826</v>
      </c>
    </row>
    <row r="30" spans="1:5" ht="15.6" x14ac:dyDescent="0.3">
      <c r="A30" s="33">
        <v>4</v>
      </c>
      <c r="B30" s="19" t="s">
        <v>46</v>
      </c>
      <c r="C30" s="26">
        <v>244</v>
      </c>
      <c r="D30" s="26">
        <v>657</v>
      </c>
      <c r="E30" s="39">
        <f t="shared" si="7"/>
        <v>160308</v>
      </c>
    </row>
    <row r="31" spans="1:5" ht="15.6" x14ac:dyDescent="0.3">
      <c r="A31" s="33">
        <v>5</v>
      </c>
      <c r="B31" s="19" t="s">
        <v>47</v>
      </c>
      <c r="C31" s="26">
        <v>344</v>
      </c>
      <c r="D31" s="26">
        <v>507</v>
      </c>
      <c r="E31" s="39">
        <f t="shared" si="7"/>
        <v>174408</v>
      </c>
    </row>
    <row r="32" spans="1:5" ht="15.6" x14ac:dyDescent="0.3">
      <c r="A32" s="33">
        <v>6</v>
      </c>
      <c r="B32" s="19" t="s">
        <v>48</v>
      </c>
      <c r="C32" s="26">
        <v>293</v>
      </c>
      <c r="D32" s="26">
        <v>707</v>
      </c>
      <c r="E32" s="39">
        <f t="shared" si="7"/>
        <v>207151</v>
      </c>
    </row>
    <row r="33" spans="1:5" ht="15.6" x14ac:dyDescent="0.3">
      <c r="A33" s="33">
        <v>7</v>
      </c>
      <c r="B33" s="19" t="s">
        <v>49</v>
      </c>
      <c r="C33" s="26">
        <v>333</v>
      </c>
      <c r="D33" s="26">
        <v>954</v>
      </c>
      <c r="E33" s="39">
        <f t="shared" si="7"/>
        <v>317682</v>
      </c>
    </row>
    <row r="34" spans="1:5" ht="15.6" x14ac:dyDescent="0.3">
      <c r="A34" s="33">
        <v>8</v>
      </c>
      <c r="B34" s="19" t="s">
        <v>50</v>
      </c>
      <c r="C34" s="26">
        <v>485</v>
      </c>
      <c r="D34" s="26">
        <v>624</v>
      </c>
      <c r="E34" s="39">
        <f t="shared" si="7"/>
        <v>302640</v>
      </c>
    </row>
    <row r="35" spans="1:5" ht="15.6" x14ac:dyDescent="0.3">
      <c r="A35" s="33">
        <v>9</v>
      </c>
      <c r="B35" s="19" t="s">
        <v>51</v>
      </c>
      <c r="C35" s="26">
        <v>253</v>
      </c>
      <c r="D35" s="26">
        <v>942</v>
      </c>
      <c r="E35" s="39">
        <f t="shared" si="7"/>
        <v>238326</v>
      </c>
    </row>
    <row r="36" spans="1:5" ht="16.2" thickBot="1" x14ac:dyDescent="0.35">
      <c r="A36" s="34">
        <v>10</v>
      </c>
      <c r="B36" s="23" t="s">
        <v>52</v>
      </c>
      <c r="C36" s="35">
        <v>412</v>
      </c>
      <c r="D36" s="35">
        <v>571</v>
      </c>
      <c r="E36" s="39">
        <f t="shared" si="7"/>
        <v>235252</v>
      </c>
    </row>
    <row r="44" spans="1:5" ht="18.600000000000001" thickBot="1" x14ac:dyDescent="0.4">
      <c r="A44" s="115" t="s">
        <v>60</v>
      </c>
      <c r="B44" s="115"/>
      <c r="C44" s="115"/>
      <c r="D44" s="115"/>
      <c r="E44" s="115"/>
    </row>
    <row r="45" spans="1:5" ht="15.6" x14ac:dyDescent="0.3">
      <c r="A45" s="36" t="s">
        <v>36</v>
      </c>
      <c r="B45" s="37" t="s">
        <v>37</v>
      </c>
      <c r="C45" s="37" t="s">
        <v>59</v>
      </c>
      <c r="D45" s="37" t="s">
        <v>58</v>
      </c>
      <c r="E45" s="37" t="s">
        <v>57</v>
      </c>
    </row>
    <row r="46" spans="1:5" ht="15.6" x14ac:dyDescent="0.3">
      <c r="A46" s="33">
        <v>1</v>
      </c>
      <c r="B46" s="19" t="s">
        <v>43</v>
      </c>
      <c r="C46" s="26">
        <v>435370</v>
      </c>
      <c r="D46" s="26">
        <v>985</v>
      </c>
      <c r="E46" s="39">
        <f>C46/D46</f>
        <v>442</v>
      </c>
    </row>
    <row r="47" spans="1:5" ht="15.6" x14ac:dyDescent="0.3">
      <c r="A47" s="33">
        <v>2</v>
      </c>
      <c r="B47" s="19" t="s">
        <v>44</v>
      </c>
      <c r="C47" s="26">
        <v>189020</v>
      </c>
      <c r="D47" s="26">
        <v>727</v>
      </c>
      <c r="E47" s="39">
        <f t="shared" ref="E47:E55" si="8">C47/D47</f>
        <v>260</v>
      </c>
    </row>
    <row r="48" spans="1:5" ht="15.6" x14ac:dyDescent="0.3">
      <c r="A48" s="33">
        <v>3</v>
      </c>
      <c r="B48" s="19" t="s">
        <v>45</v>
      </c>
      <c r="C48" s="26">
        <v>248826</v>
      </c>
      <c r="D48" s="26">
        <v>678</v>
      </c>
      <c r="E48" s="39">
        <f t="shared" si="8"/>
        <v>367</v>
      </c>
    </row>
    <row r="49" spans="1:5" ht="15.6" x14ac:dyDescent="0.3">
      <c r="A49" s="33">
        <v>4</v>
      </c>
      <c r="B49" s="19" t="s">
        <v>46</v>
      </c>
      <c r="C49" s="26">
        <v>160308</v>
      </c>
      <c r="D49" s="26">
        <v>657</v>
      </c>
      <c r="E49" s="39">
        <f t="shared" si="8"/>
        <v>244</v>
      </c>
    </row>
    <row r="50" spans="1:5" ht="15.6" x14ac:dyDescent="0.3">
      <c r="A50" s="33">
        <v>5</v>
      </c>
      <c r="B50" s="19" t="s">
        <v>47</v>
      </c>
      <c r="C50" s="26">
        <v>174408</v>
      </c>
      <c r="D50" s="26">
        <v>507</v>
      </c>
      <c r="E50" s="39">
        <f t="shared" si="8"/>
        <v>344</v>
      </c>
    </row>
    <row r="51" spans="1:5" ht="15.6" x14ac:dyDescent="0.3">
      <c r="A51" s="33">
        <v>6</v>
      </c>
      <c r="B51" s="19" t="s">
        <v>48</v>
      </c>
      <c r="C51" s="26">
        <v>207151</v>
      </c>
      <c r="D51" s="26">
        <v>707</v>
      </c>
      <c r="E51" s="39">
        <f t="shared" si="8"/>
        <v>293</v>
      </c>
    </row>
    <row r="52" spans="1:5" ht="15.6" x14ac:dyDescent="0.3">
      <c r="A52" s="33">
        <v>7</v>
      </c>
      <c r="B52" s="19" t="s">
        <v>49</v>
      </c>
      <c r="C52" s="26">
        <v>317682</v>
      </c>
      <c r="D52" s="26">
        <v>954</v>
      </c>
      <c r="E52" s="39">
        <f t="shared" si="8"/>
        <v>333</v>
      </c>
    </row>
    <row r="53" spans="1:5" ht="15.6" x14ac:dyDescent="0.3">
      <c r="A53" s="33">
        <v>8</v>
      </c>
      <c r="B53" s="19" t="s">
        <v>50</v>
      </c>
      <c r="C53" s="26">
        <v>302640</v>
      </c>
      <c r="D53" s="26">
        <v>624</v>
      </c>
      <c r="E53" s="39">
        <f t="shared" si="8"/>
        <v>485</v>
      </c>
    </row>
    <row r="54" spans="1:5" ht="15.6" x14ac:dyDescent="0.3">
      <c r="A54" s="33">
        <v>9</v>
      </c>
      <c r="B54" s="19" t="s">
        <v>51</v>
      </c>
      <c r="C54" s="26">
        <v>238326</v>
      </c>
      <c r="D54" s="26">
        <v>942</v>
      </c>
      <c r="E54" s="39">
        <f t="shared" si="8"/>
        <v>253</v>
      </c>
    </row>
    <row r="55" spans="1:5" ht="16.2" thickBot="1" x14ac:dyDescent="0.35">
      <c r="A55" s="34">
        <v>10</v>
      </c>
      <c r="B55" s="23" t="s">
        <v>52</v>
      </c>
      <c r="C55" s="35">
        <v>235252</v>
      </c>
      <c r="D55" s="35">
        <v>571</v>
      </c>
      <c r="E55" s="39">
        <f t="shared" si="8"/>
        <v>412</v>
      </c>
    </row>
  </sheetData>
  <mergeCells count="3">
    <mergeCell ref="A25:E25"/>
    <mergeCell ref="A44:E44"/>
    <mergeCell ref="A1:M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28975-04DC-4854-BBF2-BF1E7DA268C9}">
  <dimension ref="A1:K40"/>
  <sheetViews>
    <sheetView topLeftCell="A9" workbookViewId="0">
      <selection activeCell="I27" sqref="I27"/>
    </sheetView>
  </sheetViews>
  <sheetFormatPr defaultRowHeight="14.4" x14ac:dyDescent="0.3"/>
  <cols>
    <col min="2" max="2" width="9.5546875" bestFit="1" customWidth="1"/>
    <col min="4" max="4" width="11" bestFit="1" customWidth="1"/>
    <col min="6" max="6" width="12.109375" bestFit="1" customWidth="1"/>
    <col min="8" max="8" width="14.88671875" bestFit="1" customWidth="1"/>
    <col min="9" max="9" width="12.5546875" bestFit="1" customWidth="1"/>
    <col min="11" max="11" width="13.21875" bestFit="1" customWidth="1"/>
  </cols>
  <sheetData>
    <row r="1" spans="4:11" x14ac:dyDescent="0.3">
      <c r="I1" s="42"/>
    </row>
    <row r="2" spans="4:11" x14ac:dyDescent="0.3">
      <c r="I2" s="42">
        <v>743</v>
      </c>
    </row>
    <row r="3" spans="4:11" x14ac:dyDescent="0.3">
      <c r="I3" s="42">
        <v>343443</v>
      </c>
    </row>
    <row r="4" spans="4:11" x14ac:dyDescent="0.3">
      <c r="I4" s="42"/>
    </row>
    <row r="5" spans="4:11" x14ac:dyDescent="0.3">
      <c r="D5" s="42">
        <v>1233</v>
      </c>
      <c r="I5" s="42">
        <v>232</v>
      </c>
    </row>
    <row r="6" spans="4:11" x14ac:dyDescent="0.3">
      <c r="I6" s="42"/>
    </row>
    <row r="7" spans="4:11" x14ac:dyDescent="0.3">
      <c r="I7" s="42"/>
    </row>
    <row r="8" spans="4:11" x14ac:dyDescent="0.3">
      <c r="I8" s="42"/>
      <c r="K8" s="45">
        <v>23823</v>
      </c>
    </row>
    <row r="9" spans="4:11" x14ac:dyDescent="0.3">
      <c r="I9" s="42">
        <v>832882</v>
      </c>
    </row>
    <row r="10" spans="4:11" x14ac:dyDescent="0.3">
      <c r="H10" s="44">
        <v>7466834</v>
      </c>
    </row>
    <row r="11" spans="4:11" x14ac:dyDescent="0.3">
      <c r="H11" s="43"/>
    </row>
    <row r="18" spans="1:9" x14ac:dyDescent="0.3">
      <c r="I18">
        <v>8.4387498329892703E+20</v>
      </c>
    </row>
    <row r="24" spans="1:9" x14ac:dyDescent="0.3">
      <c r="A24" s="119" t="s">
        <v>61</v>
      </c>
      <c r="B24" s="119"/>
      <c r="C24" s="119"/>
      <c r="D24" s="119"/>
    </row>
    <row r="27" spans="1:9" x14ac:dyDescent="0.3">
      <c r="B27" s="41" t="s">
        <v>62</v>
      </c>
    </row>
    <row r="28" spans="1:9" x14ac:dyDescent="0.3">
      <c r="H28" s="47" t="s">
        <v>63</v>
      </c>
    </row>
    <row r="29" spans="1:9" x14ac:dyDescent="0.3">
      <c r="F29" s="41">
        <v>437303</v>
      </c>
      <c r="H29" s="47" t="s">
        <v>64</v>
      </c>
    </row>
    <row r="30" spans="1:9" x14ac:dyDescent="0.3">
      <c r="F30" s="41">
        <v>37703</v>
      </c>
      <c r="H30" s="47" t="s">
        <v>65</v>
      </c>
    </row>
    <row r="31" spans="1:9" x14ac:dyDescent="0.3">
      <c r="F31" s="46">
        <v>37703</v>
      </c>
      <c r="H31" s="47" t="s">
        <v>66</v>
      </c>
    </row>
    <row r="32" spans="1:9" x14ac:dyDescent="0.3">
      <c r="H32" s="47" t="s">
        <v>67</v>
      </c>
    </row>
    <row r="33" spans="8:8" x14ac:dyDescent="0.3">
      <c r="H33" s="47" t="s">
        <v>68</v>
      </c>
    </row>
    <row r="34" spans="8:8" x14ac:dyDescent="0.3">
      <c r="H34" s="47" t="s">
        <v>64</v>
      </c>
    </row>
    <row r="35" spans="8:8" x14ac:dyDescent="0.3">
      <c r="H35" s="47"/>
    </row>
    <row r="36" spans="8:8" x14ac:dyDescent="0.3">
      <c r="H36" s="47"/>
    </row>
    <row r="40" spans="8:8" x14ac:dyDescent="0.3">
      <c r="H40">
        <v>3</v>
      </c>
    </row>
  </sheetData>
  <mergeCells count="1">
    <mergeCell ref="A24:D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F7476-41D1-4E48-B2DA-4852E877D7F5}">
  <dimension ref="A1:E34"/>
  <sheetViews>
    <sheetView topLeftCell="A13" workbookViewId="0">
      <selection activeCell="I38" sqref="I38"/>
    </sheetView>
  </sheetViews>
  <sheetFormatPr defaultRowHeight="14.4" x14ac:dyDescent="0.3"/>
  <cols>
    <col min="1" max="1" width="10.33203125" bestFit="1" customWidth="1"/>
    <col min="2" max="2" width="18.21875" bestFit="1" customWidth="1"/>
    <col min="3" max="3" width="10.33203125" bestFit="1" customWidth="1"/>
    <col min="4" max="4" width="5.88671875" bestFit="1" customWidth="1"/>
  </cols>
  <sheetData>
    <row r="1" spans="1:5" ht="18" x14ac:dyDescent="0.3">
      <c r="A1" s="48" t="s">
        <v>69</v>
      </c>
      <c r="B1" s="49" t="s">
        <v>70</v>
      </c>
      <c r="C1" s="49" t="s">
        <v>57</v>
      </c>
      <c r="D1" s="49" t="s">
        <v>58</v>
      </c>
      <c r="E1" s="50" t="s">
        <v>59</v>
      </c>
    </row>
    <row r="2" spans="1:5" x14ac:dyDescent="0.3">
      <c r="A2" s="51">
        <v>45711</v>
      </c>
      <c r="B2" s="19" t="s">
        <v>71</v>
      </c>
      <c r="C2" s="19">
        <v>314</v>
      </c>
      <c r="D2" s="19">
        <v>582</v>
      </c>
      <c r="E2" s="20">
        <v>182748</v>
      </c>
    </row>
    <row r="3" spans="1:5" x14ac:dyDescent="0.3">
      <c r="A3" s="51">
        <v>46133</v>
      </c>
      <c r="B3" s="19" t="s">
        <v>72</v>
      </c>
      <c r="C3" s="19">
        <v>405</v>
      </c>
      <c r="D3" s="19">
        <v>855</v>
      </c>
      <c r="E3" s="20">
        <v>346275</v>
      </c>
    </row>
    <row r="4" spans="1:5" x14ac:dyDescent="0.3">
      <c r="A4" s="51">
        <v>45713</v>
      </c>
      <c r="B4" s="19" t="s">
        <v>73</v>
      </c>
      <c r="C4" s="19">
        <v>249</v>
      </c>
      <c r="D4" s="19">
        <v>665</v>
      </c>
      <c r="E4" s="20">
        <v>165585</v>
      </c>
    </row>
    <row r="5" spans="1:5" x14ac:dyDescent="0.3">
      <c r="A5" s="51">
        <v>45712</v>
      </c>
      <c r="B5" s="19" t="s">
        <v>74</v>
      </c>
      <c r="C5" s="19">
        <v>300</v>
      </c>
      <c r="D5" s="19">
        <v>907</v>
      </c>
      <c r="E5" s="20">
        <v>272100</v>
      </c>
    </row>
    <row r="6" spans="1:5" x14ac:dyDescent="0.3">
      <c r="A6" s="51">
        <v>45711</v>
      </c>
      <c r="B6" s="19" t="s">
        <v>75</v>
      </c>
      <c r="C6" s="19">
        <v>463</v>
      </c>
      <c r="D6" s="19">
        <v>521</v>
      </c>
      <c r="E6" s="20">
        <v>241223</v>
      </c>
    </row>
    <row r="7" spans="1:5" x14ac:dyDescent="0.3">
      <c r="A7" s="51">
        <v>45713</v>
      </c>
      <c r="B7" s="19" t="s">
        <v>76</v>
      </c>
      <c r="C7" s="19">
        <v>433</v>
      </c>
      <c r="D7" s="19">
        <v>500</v>
      </c>
      <c r="E7" s="20">
        <v>216500</v>
      </c>
    </row>
    <row r="8" spans="1:5" x14ac:dyDescent="0.3">
      <c r="A8" s="51">
        <v>45709</v>
      </c>
      <c r="B8" s="19" t="s">
        <v>77</v>
      </c>
      <c r="C8" s="19">
        <v>281</v>
      </c>
      <c r="D8" s="19">
        <v>876</v>
      </c>
      <c r="E8" s="20">
        <v>246156</v>
      </c>
    </row>
    <row r="9" spans="1:5" x14ac:dyDescent="0.3">
      <c r="A9" s="51">
        <v>45710</v>
      </c>
      <c r="B9" s="19" t="s">
        <v>78</v>
      </c>
      <c r="C9" s="19">
        <v>376</v>
      </c>
      <c r="D9" s="19">
        <v>856</v>
      </c>
      <c r="E9" s="20">
        <v>321856</v>
      </c>
    </row>
    <row r="10" spans="1:5" x14ac:dyDescent="0.3">
      <c r="A10" s="51">
        <v>45711</v>
      </c>
      <c r="B10" s="19" t="s">
        <v>79</v>
      </c>
      <c r="C10" s="19">
        <v>376</v>
      </c>
      <c r="D10" s="19">
        <v>588</v>
      </c>
      <c r="E10" s="20">
        <v>221088</v>
      </c>
    </row>
    <row r="11" spans="1:5" x14ac:dyDescent="0.3">
      <c r="A11" s="51">
        <v>45712</v>
      </c>
      <c r="B11" s="19" t="s">
        <v>80</v>
      </c>
      <c r="C11" s="19">
        <v>292</v>
      </c>
      <c r="D11" s="19">
        <v>816</v>
      </c>
      <c r="E11" s="20">
        <v>238272</v>
      </c>
    </row>
    <row r="12" spans="1:5" x14ac:dyDescent="0.3">
      <c r="A12" s="51">
        <v>45713</v>
      </c>
      <c r="B12" s="19" t="s">
        <v>81</v>
      </c>
      <c r="C12" s="19">
        <v>400</v>
      </c>
      <c r="D12" s="19">
        <v>932</v>
      </c>
      <c r="E12" s="20">
        <v>372800</v>
      </c>
    </row>
    <row r="13" spans="1:5" x14ac:dyDescent="0.3">
      <c r="A13" s="51">
        <v>45711</v>
      </c>
      <c r="B13" s="19" t="s">
        <v>82</v>
      </c>
      <c r="C13" s="19">
        <v>356</v>
      </c>
      <c r="D13" s="19">
        <v>814</v>
      </c>
      <c r="E13" s="20">
        <v>289784</v>
      </c>
    </row>
    <row r="14" spans="1:5" ht="15" thickBot="1" x14ac:dyDescent="0.35">
      <c r="A14" s="52">
        <v>45712</v>
      </c>
      <c r="B14" s="23" t="s">
        <v>83</v>
      </c>
      <c r="C14" s="23">
        <v>205</v>
      </c>
      <c r="D14" s="23">
        <v>657</v>
      </c>
      <c r="E14" s="24">
        <v>134685</v>
      </c>
    </row>
    <row r="20" spans="1:5" ht="15" thickBot="1" x14ac:dyDescent="0.35"/>
    <row r="21" spans="1:5" ht="18" x14ac:dyDescent="0.3">
      <c r="A21" s="48" t="s">
        <v>69</v>
      </c>
      <c r="B21" s="49" t="s">
        <v>70</v>
      </c>
      <c r="C21" s="49" t="s">
        <v>57</v>
      </c>
      <c r="D21" s="49" t="s">
        <v>58</v>
      </c>
      <c r="E21" s="50" t="s">
        <v>59</v>
      </c>
    </row>
    <row r="22" spans="1:5" x14ac:dyDescent="0.3">
      <c r="A22" s="51">
        <v>45711</v>
      </c>
      <c r="B22" s="19" t="s">
        <v>71</v>
      </c>
      <c r="C22" s="19">
        <v>314</v>
      </c>
      <c r="D22" s="19">
        <v>582</v>
      </c>
      <c r="E22" s="20">
        <v>182748</v>
      </c>
    </row>
    <row r="23" spans="1:5" x14ac:dyDescent="0.3">
      <c r="A23" s="51">
        <v>46133</v>
      </c>
      <c r="B23" s="19" t="s">
        <v>72</v>
      </c>
      <c r="C23" s="19">
        <v>405</v>
      </c>
      <c r="D23" s="19">
        <v>855</v>
      </c>
      <c r="E23" s="20">
        <v>346275</v>
      </c>
    </row>
    <row r="24" spans="1:5" x14ac:dyDescent="0.3">
      <c r="A24" s="51">
        <v>45713</v>
      </c>
      <c r="B24" s="19" t="s">
        <v>73</v>
      </c>
      <c r="C24" s="19">
        <v>249</v>
      </c>
      <c r="D24" s="19">
        <v>665</v>
      </c>
      <c r="E24" s="20">
        <v>165585</v>
      </c>
    </row>
    <row r="25" spans="1:5" x14ac:dyDescent="0.3">
      <c r="A25" s="51">
        <v>45712</v>
      </c>
      <c r="B25" s="19" t="s">
        <v>74</v>
      </c>
      <c r="C25" s="19">
        <v>300</v>
      </c>
      <c r="D25" s="19">
        <v>907</v>
      </c>
      <c r="E25" s="20">
        <v>272100</v>
      </c>
    </row>
    <row r="26" spans="1:5" x14ac:dyDescent="0.3">
      <c r="A26" s="51">
        <v>45711</v>
      </c>
      <c r="B26" s="19" t="s">
        <v>75</v>
      </c>
      <c r="C26" s="19">
        <v>463</v>
      </c>
      <c r="D26" s="19">
        <v>521</v>
      </c>
      <c r="E26" s="20">
        <v>241223</v>
      </c>
    </row>
    <row r="27" spans="1:5" x14ac:dyDescent="0.3">
      <c r="A27" s="51">
        <v>45713</v>
      </c>
      <c r="B27" s="19" t="s">
        <v>76</v>
      </c>
      <c r="C27" s="19">
        <v>433</v>
      </c>
      <c r="D27" s="19">
        <v>500</v>
      </c>
      <c r="E27" s="20">
        <v>216500</v>
      </c>
    </row>
    <row r="28" spans="1:5" x14ac:dyDescent="0.3">
      <c r="A28" s="51">
        <v>45709</v>
      </c>
      <c r="B28" s="19" t="s">
        <v>77</v>
      </c>
      <c r="C28" s="19">
        <v>281</v>
      </c>
      <c r="D28" s="19">
        <v>876</v>
      </c>
      <c r="E28" s="20">
        <v>246156</v>
      </c>
    </row>
    <row r="29" spans="1:5" x14ac:dyDescent="0.3">
      <c r="A29" s="51">
        <v>45710</v>
      </c>
      <c r="B29" s="19" t="s">
        <v>78</v>
      </c>
      <c r="C29" s="19">
        <v>376</v>
      </c>
      <c r="D29" s="19">
        <v>856</v>
      </c>
      <c r="E29" s="20">
        <v>321856</v>
      </c>
    </row>
    <row r="30" spans="1:5" x14ac:dyDescent="0.3">
      <c r="A30" s="51">
        <v>45711</v>
      </c>
      <c r="B30" s="19" t="s">
        <v>79</v>
      </c>
      <c r="C30" s="19">
        <v>376</v>
      </c>
      <c r="D30" s="19">
        <v>588</v>
      </c>
      <c r="E30" s="20">
        <v>221088</v>
      </c>
    </row>
    <row r="31" spans="1:5" x14ac:dyDescent="0.3">
      <c r="A31" s="51">
        <v>45712</v>
      </c>
      <c r="B31" s="19" t="s">
        <v>80</v>
      </c>
      <c r="C31" s="19">
        <v>292</v>
      </c>
      <c r="D31" s="19">
        <v>816</v>
      </c>
      <c r="E31" s="20">
        <v>238272</v>
      </c>
    </row>
    <row r="32" spans="1:5" x14ac:dyDescent="0.3">
      <c r="A32" s="51">
        <v>45713</v>
      </c>
      <c r="B32" s="19" t="s">
        <v>81</v>
      </c>
      <c r="C32" s="19">
        <v>400</v>
      </c>
      <c r="D32" s="19">
        <v>932</v>
      </c>
      <c r="E32" s="20">
        <v>372800</v>
      </c>
    </row>
    <row r="33" spans="1:5" x14ac:dyDescent="0.3">
      <c r="A33" s="51">
        <v>45711</v>
      </c>
      <c r="B33" s="19" t="s">
        <v>82</v>
      </c>
      <c r="C33" s="19">
        <v>356</v>
      </c>
      <c r="D33" s="19">
        <v>814</v>
      </c>
      <c r="E33" s="20">
        <v>289784</v>
      </c>
    </row>
    <row r="34" spans="1:5" ht="15" thickBot="1" x14ac:dyDescent="0.35">
      <c r="A34" s="52">
        <v>45712</v>
      </c>
      <c r="B34" s="23" t="s">
        <v>83</v>
      </c>
      <c r="C34" s="23">
        <v>205</v>
      </c>
      <c r="D34" s="23">
        <v>657</v>
      </c>
      <c r="E34" s="24">
        <v>134685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8977-AA82-46D1-863E-BE75AE2E52FA}">
  <dimension ref="A1:L16"/>
  <sheetViews>
    <sheetView workbookViewId="0">
      <selection activeCell="I6" sqref="H1:L15"/>
    </sheetView>
  </sheetViews>
  <sheetFormatPr defaultRowHeight="14.4" x14ac:dyDescent="0.3"/>
  <cols>
    <col min="1" max="1" width="11.5546875" bestFit="1" customWidth="1"/>
    <col min="2" max="2" width="19" bestFit="1" customWidth="1"/>
    <col min="3" max="3" width="14.77734375" bestFit="1" customWidth="1"/>
    <col min="4" max="4" width="10.33203125" bestFit="1" customWidth="1"/>
    <col min="5" max="5" width="14" bestFit="1" customWidth="1"/>
    <col min="8" max="8" width="10.33203125" bestFit="1" customWidth="1"/>
    <col min="9" max="9" width="18.21875" bestFit="1" customWidth="1"/>
    <col min="10" max="10" width="10.33203125" bestFit="1" customWidth="1"/>
    <col min="11" max="11" width="5.88671875" bestFit="1" customWidth="1"/>
  </cols>
  <sheetData>
    <row r="1" spans="1:12" ht="18" x14ac:dyDescent="0.3">
      <c r="A1" s="55" t="s">
        <v>69</v>
      </c>
      <c r="B1" s="56" t="s">
        <v>70</v>
      </c>
      <c r="C1" s="56" t="s">
        <v>57</v>
      </c>
      <c r="D1" s="56" t="s">
        <v>58</v>
      </c>
      <c r="E1" s="57" t="s">
        <v>59</v>
      </c>
      <c r="H1" s="48" t="s">
        <v>69</v>
      </c>
      <c r="I1" s="49" t="s">
        <v>70</v>
      </c>
      <c r="J1" s="49" t="s">
        <v>57</v>
      </c>
      <c r="K1" s="49" t="s">
        <v>58</v>
      </c>
      <c r="L1" s="50" t="s">
        <v>59</v>
      </c>
    </row>
    <row r="2" spans="1:12" x14ac:dyDescent="0.3">
      <c r="A2" s="53">
        <v>45711</v>
      </c>
      <c r="B2" s="19" t="s">
        <v>71</v>
      </c>
      <c r="C2" s="19">
        <v>314</v>
      </c>
      <c r="D2" s="19">
        <v>582</v>
      </c>
      <c r="E2" s="54">
        <f t="shared" ref="E2:E15" si="0">C2*D2</f>
        <v>182748</v>
      </c>
      <c r="H2" s="51">
        <v>45711</v>
      </c>
      <c r="I2" s="19" t="s">
        <v>71</v>
      </c>
      <c r="J2" s="19">
        <v>314</v>
      </c>
      <c r="K2" s="19">
        <v>582</v>
      </c>
      <c r="L2" s="20">
        <f>J2*K2</f>
        <v>182748</v>
      </c>
    </row>
    <row r="3" spans="1:12" x14ac:dyDescent="0.3">
      <c r="A3" s="53">
        <v>46133</v>
      </c>
      <c r="B3" s="19" t="s">
        <v>72</v>
      </c>
      <c r="C3" s="19">
        <v>405</v>
      </c>
      <c r="D3" s="19">
        <v>855</v>
      </c>
      <c r="E3" s="54">
        <f t="shared" si="0"/>
        <v>346275</v>
      </c>
      <c r="H3" s="51">
        <v>46133</v>
      </c>
      <c r="I3" s="19" t="s">
        <v>72</v>
      </c>
      <c r="J3" s="19">
        <v>405</v>
      </c>
      <c r="K3" s="19">
        <v>855</v>
      </c>
      <c r="L3" s="20">
        <f t="shared" ref="L3:L15" si="1">J3*K3</f>
        <v>346275</v>
      </c>
    </row>
    <row r="4" spans="1:12" x14ac:dyDescent="0.3">
      <c r="A4" s="53">
        <v>45713</v>
      </c>
      <c r="B4" s="19" t="s">
        <v>73</v>
      </c>
      <c r="C4" s="19">
        <v>249</v>
      </c>
      <c r="D4" s="19">
        <v>665</v>
      </c>
      <c r="E4" s="54">
        <f t="shared" si="0"/>
        <v>165585</v>
      </c>
      <c r="H4" s="51">
        <v>45713</v>
      </c>
      <c r="I4" s="19" t="s">
        <v>73</v>
      </c>
      <c r="J4" s="19">
        <v>249</v>
      </c>
      <c r="K4" s="19">
        <v>665</v>
      </c>
      <c r="L4" s="20">
        <f t="shared" si="1"/>
        <v>165585</v>
      </c>
    </row>
    <row r="5" spans="1:12" x14ac:dyDescent="0.3">
      <c r="A5" s="53">
        <v>45712</v>
      </c>
      <c r="B5" s="19" t="s">
        <v>74</v>
      </c>
      <c r="C5" s="19">
        <v>300</v>
      </c>
      <c r="D5" s="19">
        <v>907</v>
      </c>
      <c r="E5" s="54">
        <f t="shared" si="0"/>
        <v>272100</v>
      </c>
      <c r="H5" s="51">
        <v>45712</v>
      </c>
      <c r="I5" s="19" t="s">
        <v>74</v>
      </c>
      <c r="J5" s="19">
        <v>300</v>
      </c>
      <c r="K5" s="19">
        <v>907</v>
      </c>
      <c r="L5" s="20">
        <f t="shared" si="1"/>
        <v>272100</v>
      </c>
    </row>
    <row r="6" spans="1:12" x14ac:dyDescent="0.3">
      <c r="A6" s="53">
        <v>45711</v>
      </c>
      <c r="B6" s="19" t="s">
        <v>75</v>
      </c>
      <c r="C6" s="19">
        <v>463</v>
      </c>
      <c r="D6" s="19">
        <v>521</v>
      </c>
      <c r="E6" s="54">
        <f t="shared" si="0"/>
        <v>241223</v>
      </c>
      <c r="H6" s="51">
        <v>45711</v>
      </c>
      <c r="I6" s="19" t="s">
        <v>75</v>
      </c>
      <c r="J6" s="19">
        <v>463</v>
      </c>
      <c r="K6" s="19">
        <v>521</v>
      </c>
      <c r="L6" s="20">
        <f t="shared" si="1"/>
        <v>241223</v>
      </c>
    </row>
    <row r="7" spans="1:12" x14ac:dyDescent="0.3">
      <c r="A7" s="53">
        <v>45713</v>
      </c>
      <c r="B7" s="19" t="s">
        <v>76</v>
      </c>
      <c r="C7" s="19">
        <v>433</v>
      </c>
      <c r="D7" s="19">
        <v>500</v>
      </c>
      <c r="E7" s="54">
        <f t="shared" si="0"/>
        <v>216500</v>
      </c>
      <c r="H7" s="51">
        <v>45713</v>
      </c>
      <c r="I7" s="19" t="s">
        <v>76</v>
      </c>
      <c r="J7" s="19">
        <v>433</v>
      </c>
      <c r="K7" s="19">
        <v>500</v>
      </c>
      <c r="L7" s="20">
        <f t="shared" si="1"/>
        <v>216500</v>
      </c>
    </row>
    <row r="8" spans="1:12" x14ac:dyDescent="0.3">
      <c r="A8" s="53">
        <v>45709</v>
      </c>
      <c r="B8" s="19" t="s">
        <v>77</v>
      </c>
      <c r="C8" s="19">
        <v>281</v>
      </c>
      <c r="D8" s="19">
        <v>876</v>
      </c>
      <c r="E8" s="54">
        <f t="shared" si="0"/>
        <v>246156</v>
      </c>
      <c r="H8" s="51">
        <v>45709</v>
      </c>
      <c r="I8" s="19" t="s">
        <v>77</v>
      </c>
      <c r="J8" s="19">
        <v>281</v>
      </c>
      <c r="K8" s="19">
        <v>876</v>
      </c>
      <c r="L8" s="20">
        <f t="shared" si="1"/>
        <v>246156</v>
      </c>
    </row>
    <row r="9" spans="1:12" x14ac:dyDescent="0.3">
      <c r="A9" s="53">
        <v>45710</v>
      </c>
      <c r="B9" s="19" t="s">
        <v>78</v>
      </c>
      <c r="C9" s="19">
        <v>376</v>
      </c>
      <c r="D9" s="19">
        <v>856</v>
      </c>
      <c r="E9" s="54">
        <f t="shared" si="0"/>
        <v>321856</v>
      </c>
      <c r="H9" s="51">
        <v>45710</v>
      </c>
      <c r="I9" s="19" t="s">
        <v>78</v>
      </c>
      <c r="J9" s="19">
        <v>376</v>
      </c>
      <c r="K9" s="19">
        <v>856</v>
      </c>
      <c r="L9" s="20">
        <f t="shared" si="1"/>
        <v>321856</v>
      </c>
    </row>
    <row r="10" spans="1:12" x14ac:dyDescent="0.3">
      <c r="A10" s="53">
        <v>45711</v>
      </c>
      <c r="B10" s="19" t="s">
        <v>79</v>
      </c>
      <c r="C10" s="19">
        <v>376</v>
      </c>
      <c r="D10" s="19">
        <v>588</v>
      </c>
      <c r="E10" s="54">
        <f t="shared" si="0"/>
        <v>221088</v>
      </c>
      <c r="H10" s="51">
        <v>45711</v>
      </c>
      <c r="I10" s="19" t="s">
        <v>79</v>
      </c>
      <c r="J10" s="19">
        <v>376</v>
      </c>
      <c r="K10" s="19">
        <v>588</v>
      </c>
      <c r="L10" s="20">
        <f t="shared" si="1"/>
        <v>221088</v>
      </c>
    </row>
    <row r="11" spans="1:12" x14ac:dyDescent="0.3">
      <c r="A11" s="53">
        <v>45712</v>
      </c>
      <c r="B11" s="19" t="s">
        <v>80</v>
      </c>
      <c r="C11" s="19">
        <v>292</v>
      </c>
      <c r="D11" s="19">
        <v>816</v>
      </c>
      <c r="E11" s="54">
        <f t="shared" si="0"/>
        <v>238272</v>
      </c>
      <c r="H11" s="51">
        <v>45712</v>
      </c>
      <c r="I11" s="19" t="s">
        <v>80</v>
      </c>
      <c r="J11" s="19">
        <v>292</v>
      </c>
      <c r="K11" s="19">
        <v>816</v>
      </c>
      <c r="L11" s="20">
        <f t="shared" si="1"/>
        <v>238272</v>
      </c>
    </row>
    <row r="12" spans="1:12" x14ac:dyDescent="0.3">
      <c r="A12" s="53">
        <v>45713</v>
      </c>
      <c r="B12" s="19" t="s">
        <v>81</v>
      </c>
      <c r="C12" s="19">
        <v>400</v>
      </c>
      <c r="D12" s="19">
        <v>932</v>
      </c>
      <c r="E12" s="54">
        <f t="shared" si="0"/>
        <v>372800</v>
      </c>
      <c r="H12" s="51">
        <v>45713</v>
      </c>
      <c r="I12" s="19" t="s">
        <v>81</v>
      </c>
      <c r="J12" s="19">
        <v>400</v>
      </c>
      <c r="K12" s="19">
        <v>932</v>
      </c>
      <c r="L12" s="20">
        <f t="shared" si="1"/>
        <v>372800</v>
      </c>
    </row>
    <row r="13" spans="1:12" x14ac:dyDescent="0.3">
      <c r="A13" s="53">
        <v>45711</v>
      </c>
      <c r="B13" s="19" t="s">
        <v>82</v>
      </c>
      <c r="C13" s="19">
        <v>356</v>
      </c>
      <c r="D13" s="19">
        <v>814</v>
      </c>
      <c r="E13" s="54">
        <f t="shared" si="0"/>
        <v>289784</v>
      </c>
      <c r="H13" s="51">
        <v>45711</v>
      </c>
      <c r="I13" s="19" t="s">
        <v>82</v>
      </c>
      <c r="J13" s="19">
        <v>356</v>
      </c>
      <c r="K13" s="19">
        <v>814</v>
      </c>
      <c r="L13" s="20">
        <f t="shared" si="1"/>
        <v>289784</v>
      </c>
    </row>
    <row r="14" spans="1:12" ht="15" thickBot="1" x14ac:dyDescent="0.35">
      <c r="A14" s="58">
        <v>45712</v>
      </c>
      <c r="B14" s="59" t="s">
        <v>83</v>
      </c>
      <c r="C14" s="59">
        <v>205</v>
      </c>
      <c r="D14" s="59">
        <v>657</v>
      </c>
      <c r="E14" s="54">
        <f t="shared" si="0"/>
        <v>134685</v>
      </c>
      <c r="H14" s="52">
        <v>45712</v>
      </c>
      <c r="I14" s="23" t="s">
        <v>83</v>
      </c>
      <c r="J14" s="23">
        <v>205</v>
      </c>
      <c r="K14" s="23">
        <v>657</v>
      </c>
      <c r="L14" s="20">
        <f t="shared" si="1"/>
        <v>134685</v>
      </c>
    </row>
    <row r="15" spans="1:12" x14ac:dyDescent="0.3">
      <c r="A15" s="58">
        <v>32536</v>
      </c>
      <c r="B15" s="59" t="s">
        <v>85</v>
      </c>
      <c r="C15" s="59">
        <v>633</v>
      </c>
      <c r="D15" s="59">
        <v>634</v>
      </c>
      <c r="E15" s="54">
        <f t="shared" si="0"/>
        <v>401322</v>
      </c>
      <c r="H15" s="60">
        <v>352367</v>
      </c>
      <c r="I15" s="61" t="s">
        <v>84</v>
      </c>
      <c r="J15" s="61">
        <v>632</v>
      </c>
      <c r="K15" s="61">
        <v>646</v>
      </c>
      <c r="L15" s="62">
        <f t="shared" si="1"/>
        <v>408272</v>
      </c>
    </row>
    <row r="16" spans="1:12" x14ac:dyDescent="0.3">
      <c r="A16" s="58">
        <v>43646</v>
      </c>
      <c r="B16" s="59" t="s">
        <v>86</v>
      </c>
      <c r="C16" s="59">
        <v>327</v>
      </c>
      <c r="D16" s="59">
        <v>67337</v>
      </c>
      <c r="E16" s="63">
        <f>C16*D16</f>
        <v>22019199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EC8B-4C0F-41F7-8C02-F7DF60F00135}">
  <sheetPr>
    <tabColor theme="0" tint="-0.249977111117893"/>
  </sheetPr>
  <dimension ref="A1:Q22"/>
  <sheetViews>
    <sheetView workbookViewId="0">
      <selection activeCell="K25" sqref="K25"/>
    </sheetView>
  </sheetViews>
  <sheetFormatPr defaultRowHeight="14.4" x14ac:dyDescent="0.3"/>
  <cols>
    <col min="1" max="1" width="10.33203125" bestFit="1" customWidth="1"/>
    <col min="2" max="2" width="18.21875" bestFit="1" customWidth="1"/>
    <col min="3" max="3" width="10.33203125" bestFit="1" customWidth="1"/>
    <col min="4" max="4" width="5.88671875" bestFit="1" customWidth="1"/>
    <col min="5" max="5" width="9.5546875" bestFit="1" customWidth="1"/>
    <col min="7" max="7" width="11.21875" customWidth="1"/>
    <col min="8" max="8" width="0" hidden="1" customWidth="1"/>
    <col min="9" max="9" width="8.88671875" hidden="1" customWidth="1"/>
    <col min="10" max="10" width="10.33203125" bestFit="1" customWidth="1"/>
    <col min="11" max="11" width="18.21875" bestFit="1" customWidth="1"/>
    <col min="12" max="13" width="8.33203125" bestFit="1" customWidth="1"/>
    <col min="14" max="14" width="7.88671875" bestFit="1" customWidth="1"/>
  </cols>
  <sheetData>
    <row r="1" spans="1:17" ht="15" thickBot="1" x14ac:dyDescent="0.35">
      <c r="A1" s="66" t="s">
        <v>69</v>
      </c>
      <c r="B1" s="66" t="s">
        <v>70</v>
      </c>
      <c r="C1" s="66" t="s">
        <v>57</v>
      </c>
      <c r="D1" s="66" t="s">
        <v>58</v>
      </c>
      <c r="E1" s="66" t="s">
        <v>59</v>
      </c>
      <c r="J1" s="68" t="s">
        <v>69</v>
      </c>
      <c r="K1" s="68" t="s">
        <v>70</v>
      </c>
      <c r="L1" s="77" t="s">
        <v>57</v>
      </c>
      <c r="M1" s="77" t="s">
        <v>58</v>
      </c>
      <c r="N1" s="77" t="s">
        <v>59</v>
      </c>
    </row>
    <row r="2" spans="1:17" ht="15.6" thickTop="1" thickBot="1" x14ac:dyDescent="0.35">
      <c r="A2" s="64">
        <v>45711</v>
      </c>
      <c r="B2" s="65" t="s">
        <v>71</v>
      </c>
      <c r="C2" s="65">
        <v>314</v>
      </c>
      <c r="D2" s="65">
        <v>582</v>
      </c>
      <c r="E2" s="65">
        <f>C2*D2</f>
        <v>182748</v>
      </c>
      <c r="J2" s="70">
        <v>45711</v>
      </c>
      <c r="K2" s="71" t="s">
        <v>71</v>
      </c>
      <c r="L2" s="69">
        <v>314</v>
      </c>
      <c r="M2" s="69">
        <v>582</v>
      </c>
      <c r="N2" s="69">
        <f>L2*M2</f>
        <v>182748</v>
      </c>
    </row>
    <row r="3" spans="1:17" ht="15.6" thickTop="1" thickBot="1" x14ac:dyDescent="0.35">
      <c r="A3" s="64">
        <v>46133</v>
      </c>
      <c r="B3" s="65" t="s">
        <v>72</v>
      </c>
      <c r="C3" s="65">
        <v>405</v>
      </c>
      <c r="D3" s="65">
        <v>855</v>
      </c>
      <c r="E3" s="65">
        <f t="shared" ref="E3:E14" si="0">C3*D3</f>
        <v>346275</v>
      </c>
      <c r="J3" s="70">
        <v>46133</v>
      </c>
      <c r="K3" s="71" t="s">
        <v>72</v>
      </c>
      <c r="L3" s="69">
        <v>405</v>
      </c>
      <c r="M3" s="69">
        <v>855</v>
      </c>
      <c r="N3" s="69">
        <f t="shared" ref="N3:N14" si="1">L3*M3</f>
        <v>346275</v>
      </c>
    </row>
    <row r="4" spans="1:17" ht="15.6" thickTop="1" thickBot="1" x14ac:dyDescent="0.35">
      <c r="A4" s="64">
        <v>45713</v>
      </c>
      <c r="B4" s="65" t="s">
        <v>73</v>
      </c>
      <c r="C4" s="65">
        <v>249</v>
      </c>
      <c r="D4" s="65">
        <v>665</v>
      </c>
      <c r="E4" s="65">
        <f t="shared" si="0"/>
        <v>165585</v>
      </c>
      <c r="J4" s="72">
        <v>45713</v>
      </c>
      <c r="K4" s="73" t="s">
        <v>73</v>
      </c>
      <c r="L4" s="67">
        <v>249</v>
      </c>
      <c r="M4" s="67">
        <v>665</v>
      </c>
      <c r="N4" s="67">
        <f t="shared" si="1"/>
        <v>165585</v>
      </c>
    </row>
    <row r="5" spans="1:17" ht="15.6" thickTop="1" thickBot="1" x14ac:dyDescent="0.35">
      <c r="A5" s="64">
        <v>45712</v>
      </c>
      <c r="B5" s="65" t="s">
        <v>74</v>
      </c>
      <c r="C5" s="65">
        <v>300</v>
      </c>
      <c r="D5" s="65">
        <v>907</v>
      </c>
      <c r="E5" s="65">
        <f t="shared" si="0"/>
        <v>272100</v>
      </c>
      <c r="J5" s="72">
        <v>45712</v>
      </c>
      <c r="K5" s="73" t="s">
        <v>74</v>
      </c>
      <c r="L5" s="67">
        <v>300</v>
      </c>
      <c r="M5" s="67">
        <v>907</v>
      </c>
      <c r="N5" s="67">
        <f t="shared" si="1"/>
        <v>272100</v>
      </c>
    </row>
    <row r="6" spans="1:17" ht="15.6" thickTop="1" thickBot="1" x14ac:dyDescent="0.35">
      <c r="A6" s="64">
        <v>45711</v>
      </c>
      <c r="B6" s="65" t="s">
        <v>75</v>
      </c>
      <c r="C6" s="65">
        <v>463</v>
      </c>
      <c r="D6" s="65">
        <v>521</v>
      </c>
      <c r="E6" s="65">
        <f t="shared" si="0"/>
        <v>241223</v>
      </c>
      <c r="J6" s="70">
        <v>45711</v>
      </c>
      <c r="K6" s="71" t="s">
        <v>75</v>
      </c>
      <c r="L6" s="69">
        <v>463</v>
      </c>
      <c r="M6" s="69">
        <v>521</v>
      </c>
      <c r="N6" s="69">
        <f t="shared" si="1"/>
        <v>241223</v>
      </c>
      <c r="P6" s="120" t="s">
        <v>87</v>
      </c>
      <c r="Q6" s="120"/>
    </row>
    <row r="7" spans="1:17" ht="15.6" thickTop="1" thickBot="1" x14ac:dyDescent="0.35">
      <c r="A7" s="64">
        <v>45713</v>
      </c>
      <c r="B7" s="65" t="s">
        <v>76</v>
      </c>
      <c r="C7" s="65">
        <v>433</v>
      </c>
      <c r="D7" s="65">
        <v>500</v>
      </c>
      <c r="E7" s="65">
        <f t="shared" si="0"/>
        <v>216500</v>
      </c>
      <c r="J7" s="70">
        <v>45713</v>
      </c>
      <c r="K7" s="71" t="s">
        <v>76</v>
      </c>
      <c r="L7" s="69">
        <v>433</v>
      </c>
      <c r="M7" s="69">
        <v>500</v>
      </c>
      <c r="N7" s="69">
        <f t="shared" si="1"/>
        <v>216500</v>
      </c>
    </row>
    <row r="8" spans="1:17" ht="15.6" thickTop="1" thickBot="1" x14ac:dyDescent="0.35">
      <c r="A8" s="64">
        <v>45709</v>
      </c>
      <c r="B8" s="65" t="s">
        <v>77</v>
      </c>
      <c r="C8" s="65">
        <v>281</v>
      </c>
      <c r="D8" s="65">
        <v>876</v>
      </c>
      <c r="E8" s="65">
        <f t="shared" si="0"/>
        <v>246156</v>
      </c>
      <c r="J8" s="72">
        <v>45709</v>
      </c>
      <c r="K8" s="73" t="s">
        <v>77</v>
      </c>
      <c r="L8" s="67">
        <v>281</v>
      </c>
      <c r="M8" s="67">
        <v>876</v>
      </c>
      <c r="N8" s="67">
        <f t="shared" si="1"/>
        <v>246156</v>
      </c>
    </row>
    <row r="9" spans="1:17" ht="15.6" thickTop="1" thickBot="1" x14ac:dyDescent="0.35">
      <c r="A9" s="64">
        <v>45710</v>
      </c>
      <c r="B9" s="65" t="s">
        <v>78</v>
      </c>
      <c r="C9" s="65">
        <v>376</v>
      </c>
      <c r="D9" s="65">
        <v>856</v>
      </c>
      <c r="E9" s="65">
        <f t="shared" si="0"/>
        <v>321856</v>
      </c>
      <c r="J9" s="72">
        <v>45710</v>
      </c>
      <c r="K9" s="73" t="s">
        <v>78</v>
      </c>
      <c r="L9" s="67">
        <v>376</v>
      </c>
      <c r="M9" s="67">
        <v>856</v>
      </c>
      <c r="N9" s="67">
        <f t="shared" si="1"/>
        <v>321856</v>
      </c>
    </row>
    <row r="10" spans="1:17" ht="15.6" thickTop="1" thickBot="1" x14ac:dyDescent="0.35">
      <c r="A10" s="64">
        <v>45711</v>
      </c>
      <c r="B10" s="65" t="s">
        <v>79</v>
      </c>
      <c r="C10" s="65">
        <v>376</v>
      </c>
      <c r="D10" s="65">
        <v>588</v>
      </c>
      <c r="E10" s="65">
        <f t="shared" si="0"/>
        <v>221088</v>
      </c>
      <c r="J10" s="70">
        <v>45711</v>
      </c>
      <c r="K10" s="71" t="s">
        <v>79</v>
      </c>
      <c r="L10" s="69">
        <v>376</v>
      </c>
      <c r="M10" s="69">
        <v>588</v>
      </c>
      <c r="N10" s="69">
        <f t="shared" si="1"/>
        <v>221088</v>
      </c>
    </row>
    <row r="11" spans="1:17" ht="15.6" thickTop="1" thickBot="1" x14ac:dyDescent="0.35">
      <c r="A11" s="64">
        <v>45712</v>
      </c>
      <c r="B11" s="65" t="s">
        <v>80</v>
      </c>
      <c r="C11" s="65">
        <v>292</v>
      </c>
      <c r="D11" s="65">
        <v>816</v>
      </c>
      <c r="E11" s="65">
        <f t="shared" si="0"/>
        <v>238272</v>
      </c>
      <c r="J11" s="70">
        <v>45712</v>
      </c>
      <c r="K11" s="71" t="s">
        <v>80</v>
      </c>
      <c r="L11" s="69">
        <v>292</v>
      </c>
      <c r="M11" s="69">
        <v>816</v>
      </c>
      <c r="N11" s="69">
        <f t="shared" si="1"/>
        <v>238272</v>
      </c>
    </row>
    <row r="12" spans="1:17" ht="15.6" thickTop="1" thickBot="1" x14ac:dyDescent="0.35">
      <c r="A12" s="64">
        <v>45713</v>
      </c>
      <c r="B12" s="65" t="s">
        <v>81</v>
      </c>
      <c r="C12" s="65">
        <v>400</v>
      </c>
      <c r="D12" s="65">
        <v>932</v>
      </c>
      <c r="E12" s="65">
        <f t="shared" si="0"/>
        <v>372800</v>
      </c>
      <c r="J12" s="72">
        <v>45713</v>
      </c>
      <c r="K12" s="73" t="s">
        <v>81</v>
      </c>
      <c r="L12" s="67">
        <v>400</v>
      </c>
      <c r="M12" s="67">
        <v>932</v>
      </c>
      <c r="N12" s="67">
        <f t="shared" si="1"/>
        <v>372800</v>
      </c>
    </row>
    <row r="13" spans="1:17" ht="15.6" thickTop="1" thickBot="1" x14ac:dyDescent="0.35">
      <c r="A13" s="64">
        <v>45711</v>
      </c>
      <c r="B13" s="65" t="s">
        <v>82</v>
      </c>
      <c r="C13" s="65">
        <v>356</v>
      </c>
      <c r="D13" s="65">
        <v>814</v>
      </c>
      <c r="E13" s="65">
        <f t="shared" si="0"/>
        <v>289784</v>
      </c>
      <c r="J13" s="72">
        <v>45711</v>
      </c>
      <c r="K13" s="73" t="s">
        <v>82</v>
      </c>
      <c r="L13" s="67">
        <v>356</v>
      </c>
      <c r="M13" s="67">
        <v>814</v>
      </c>
      <c r="N13" s="67">
        <f t="shared" si="1"/>
        <v>289784</v>
      </c>
    </row>
    <row r="14" spans="1:17" ht="15.6" thickTop="1" thickBot="1" x14ac:dyDescent="0.35">
      <c r="A14" s="64">
        <v>45712</v>
      </c>
      <c r="B14" s="65" t="s">
        <v>83</v>
      </c>
      <c r="C14" s="65">
        <v>205</v>
      </c>
      <c r="D14" s="65">
        <v>657</v>
      </c>
      <c r="E14" s="65">
        <f t="shared" si="0"/>
        <v>134685</v>
      </c>
      <c r="J14" s="75">
        <v>45712</v>
      </c>
      <c r="K14" s="76" t="s">
        <v>83</v>
      </c>
      <c r="L14" s="74">
        <v>205</v>
      </c>
      <c r="M14" s="74">
        <v>657</v>
      </c>
      <c r="N14" s="74">
        <f t="shared" si="1"/>
        <v>134685</v>
      </c>
    </row>
    <row r="15" spans="1:17" ht="15" thickTop="1" x14ac:dyDescent="0.3"/>
    <row r="22" spans="6:6" x14ac:dyDescent="0.3">
      <c r="F22" t="s">
        <v>88</v>
      </c>
    </row>
  </sheetData>
  <mergeCells count="1">
    <mergeCell ref="P6:Q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F7AD-665D-4EB7-B596-84D5727F5323}">
  <dimension ref="A1:Q15"/>
  <sheetViews>
    <sheetView workbookViewId="0">
      <selection activeCell="G17" sqref="G17"/>
    </sheetView>
  </sheetViews>
  <sheetFormatPr defaultRowHeight="14.4" x14ac:dyDescent="0.3"/>
  <cols>
    <col min="1" max="1" width="10.33203125" bestFit="1" customWidth="1"/>
    <col min="2" max="2" width="18.21875" bestFit="1" customWidth="1"/>
    <col min="3" max="3" width="10.33203125" bestFit="1" customWidth="1"/>
    <col min="4" max="4" width="5.88671875" bestFit="1" customWidth="1"/>
    <col min="5" max="5" width="9.5546875" bestFit="1" customWidth="1"/>
    <col min="7" max="7" width="11.21875" customWidth="1"/>
    <col min="8" max="8" width="0" hidden="1" customWidth="1"/>
    <col min="9" max="9" width="8.88671875" hidden="1" customWidth="1"/>
    <col min="10" max="10" width="10.33203125" bestFit="1" customWidth="1"/>
    <col min="11" max="11" width="18.21875" bestFit="1" customWidth="1"/>
    <col min="12" max="13" width="8.33203125" bestFit="1" customWidth="1"/>
    <col min="14" max="14" width="7.88671875" bestFit="1" customWidth="1"/>
  </cols>
  <sheetData>
    <row r="1" spans="1:17" ht="15" thickBot="1" x14ac:dyDescent="0.35">
      <c r="A1" s="66" t="s">
        <v>69</v>
      </c>
      <c r="B1" s="66" t="s">
        <v>70</v>
      </c>
      <c r="C1" s="66" t="s">
        <v>57</v>
      </c>
      <c r="D1" s="66" t="s">
        <v>58</v>
      </c>
      <c r="E1" s="66" t="s">
        <v>59</v>
      </c>
      <c r="J1" s="68" t="s">
        <v>69</v>
      </c>
      <c r="K1" s="68" t="s">
        <v>70</v>
      </c>
      <c r="L1" s="77" t="s">
        <v>57</v>
      </c>
      <c r="M1" s="77" t="s">
        <v>58</v>
      </c>
      <c r="N1" s="77" t="s">
        <v>59</v>
      </c>
    </row>
    <row r="2" spans="1:17" ht="15.6" thickTop="1" thickBot="1" x14ac:dyDescent="0.35">
      <c r="A2" s="64">
        <v>45711</v>
      </c>
      <c r="B2" s="65" t="s">
        <v>71</v>
      </c>
      <c r="C2" s="65">
        <v>314</v>
      </c>
      <c r="D2" s="65">
        <v>582</v>
      </c>
      <c r="E2" s="65">
        <f>C2*D2</f>
        <v>182748</v>
      </c>
      <c r="J2" s="70">
        <v>45711</v>
      </c>
      <c r="K2" s="71" t="s">
        <v>71</v>
      </c>
      <c r="L2" s="69">
        <v>314</v>
      </c>
      <c r="M2" s="69">
        <v>582</v>
      </c>
      <c r="N2" s="69">
        <f>L2*M2</f>
        <v>182748</v>
      </c>
    </row>
    <row r="3" spans="1:17" ht="15.6" thickTop="1" thickBot="1" x14ac:dyDescent="0.35">
      <c r="A3" s="64">
        <v>46133</v>
      </c>
      <c r="B3" s="65" t="s">
        <v>72</v>
      </c>
      <c r="C3" s="65">
        <v>405</v>
      </c>
      <c r="D3" s="65">
        <v>855</v>
      </c>
      <c r="E3" s="65">
        <f t="shared" ref="E3:E14" si="0">C3*D3</f>
        <v>346275</v>
      </c>
      <c r="J3" s="70">
        <v>46133</v>
      </c>
      <c r="K3" s="71" t="s">
        <v>72</v>
      </c>
      <c r="L3" s="69">
        <v>405</v>
      </c>
      <c r="M3" s="69">
        <v>855</v>
      </c>
      <c r="N3" s="69">
        <f t="shared" ref="N3:N14" si="1">L3*M3</f>
        <v>346275</v>
      </c>
    </row>
    <row r="4" spans="1:17" ht="15.6" thickTop="1" thickBot="1" x14ac:dyDescent="0.35">
      <c r="A4" s="64">
        <v>45713</v>
      </c>
      <c r="B4" s="65" t="s">
        <v>73</v>
      </c>
      <c r="C4" s="65">
        <v>249</v>
      </c>
      <c r="D4" s="65">
        <v>665</v>
      </c>
      <c r="E4" s="65">
        <f t="shared" si="0"/>
        <v>165585</v>
      </c>
      <c r="J4" s="72">
        <v>45713</v>
      </c>
      <c r="K4" s="73" t="s">
        <v>73</v>
      </c>
      <c r="L4" s="67">
        <v>249</v>
      </c>
      <c r="M4" s="67">
        <v>665</v>
      </c>
      <c r="N4" s="67">
        <f t="shared" si="1"/>
        <v>165585</v>
      </c>
    </row>
    <row r="5" spans="1:17" ht="15.6" thickTop="1" thickBot="1" x14ac:dyDescent="0.35">
      <c r="A5" s="64">
        <v>45712</v>
      </c>
      <c r="B5" s="65" t="s">
        <v>74</v>
      </c>
      <c r="C5" s="65">
        <v>300</v>
      </c>
      <c r="D5" s="65">
        <v>907</v>
      </c>
      <c r="E5" s="65">
        <f t="shared" si="0"/>
        <v>272100</v>
      </c>
      <c r="J5" s="72">
        <v>45712</v>
      </c>
      <c r="K5" s="73" t="s">
        <v>74</v>
      </c>
      <c r="L5" s="67">
        <v>300</v>
      </c>
      <c r="M5" s="67">
        <v>907</v>
      </c>
      <c r="N5" s="67">
        <f t="shared" si="1"/>
        <v>272100</v>
      </c>
    </row>
    <row r="6" spans="1:17" ht="15.6" thickTop="1" thickBot="1" x14ac:dyDescent="0.35">
      <c r="A6" s="64">
        <v>45711</v>
      </c>
      <c r="B6" s="65" t="s">
        <v>75</v>
      </c>
      <c r="C6" s="65">
        <v>463</v>
      </c>
      <c r="D6" s="65">
        <v>521</v>
      </c>
      <c r="E6" s="65">
        <f t="shared" si="0"/>
        <v>241223</v>
      </c>
      <c r="J6" s="70">
        <v>45711</v>
      </c>
      <c r="K6" s="71" t="s">
        <v>75</v>
      </c>
      <c r="L6" s="69">
        <v>463</v>
      </c>
      <c r="M6" s="69">
        <v>521</v>
      </c>
      <c r="N6" s="69">
        <f t="shared" si="1"/>
        <v>241223</v>
      </c>
      <c r="P6" s="120" t="s">
        <v>87</v>
      </c>
      <c r="Q6" s="120"/>
    </row>
    <row r="7" spans="1:17" ht="15.6" thickTop="1" thickBot="1" x14ac:dyDescent="0.35">
      <c r="A7" s="64">
        <v>45713</v>
      </c>
      <c r="B7" s="65" t="s">
        <v>76</v>
      </c>
      <c r="C7" s="65">
        <v>433</v>
      </c>
      <c r="D7" s="65">
        <v>500</v>
      </c>
      <c r="E7" s="65">
        <f t="shared" si="0"/>
        <v>216500</v>
      </c>
      <c r="J7" s="70">
        <v>45713</v>
      </c>
      <c r="K7" s="71" t="s">
        <v>76</v>
      </c>
      <c r="L7" s="69">
        <v>433</v>
      </c>
      <c r="M7" s="69">
        <v>500</v>
      </c>
      <c r="N7" s="69">
        <f t="shared" si="1"/>
        <v>216500</v>
      </c>
    </row>
    <row r="8" spans="1:17" ht="15.6" thickTop="1" thickBot="1" x14ac:dyDescent="0.35">
      <c r="A8" s="64">
        <v>45709</v>
      </c>
      <c r="B8" s="65" t="s">
        <v>77</v>
      </c>
      <c r="C8" s="65">
        <v>281</v>
      </c>
      <c r="D8" s="65">
        <v>876</v>
      </c>
      <c r="E8" s="65">
        <f t="shared" si="0"/>
        <v>246156</v>
      </c>
      <c r="J8" s="72">
        <v>45709</v>
      </c>
      <c r="K8" s="73" t="s">
        <v>77</v>
      </c>
      <c r="L8" s="67">
        <v>281</v>
      </c>
      <c r="M8" s="67">
        <v>876</v>
      </c>
      <c r="N8" s="67">
        <f t="shared" si="1"/>
        <v>246156</v>
      </c>
    </row>
    <row r="9" spans="1:17" ht="15.6" thickTop="1" thickBot="1" x14ac:dyDescent="0.35">
      <c r="A9" s="64">
        <v>45710</v>
      </c>
      <c r="B9" s="65" t="s">
        <v>78</v>
      </c>
      <c r="C9" s="65">
        <v>376</v>
      </c>
      <c r="D9" s="65">
        <v>856</v>
      </c>
      <c r="E9" s="65">
        <f t="shared" si="0"/>
        <v>321856</v>
      </c>
      <c r="J9" s="72">
        <v>45710</v>
      </c>
      <c r="K9" s="73" t="s">
        <v>78</v>
      </c>
      <c r="L9" s="67">
        <v>376</v>
      </c>
      <c r="M9" s="67">
        <v>856</v>
      </c>
      <c r="N9" s="67">
        <f t="shared" si="1"/>
        <v>321856</v>
      </c>
    </row>
    <row r="10" spans="1:17" ht="15.6" thickTop="1" thickBot="1" x14ac:dyDescent="0.35">
      <c r="A10" s="64">
        <v>45711</v>
      </c>
      <c r="B10" s="65" t="s">
        <v>79</v>
      </c>
      <c r="C10" s="65">
        <v>376</v>
      </c>
      <c r="D10" s="65">
        <v>588</v>
      </c>
      <c r="E10" s="65">
        <f t="shared" si="0"/>
        <v>221088</v>
      </c>
      <c r="J10" s="70">
        <v>45711</v>
      </c>
      <c r="K10" s="71" t="s">
        <v>79</v>
      </c>
      <c r="L10" s="69">
        <v>376</v>
      </c>
      <c r="M10" s="69">
        <v>588</v>
      </c>
      <c r="N10" s="69">
        <f t="shared" si="1"/>
        <v>221088</v>
      </c>
    </row>
    <row r="11" spans="1:17" ht="15.6" thickTop="1" thickBot="1" x14ac:dyDescent="0.35">
      <c r="A11" s="64">
        <v>45712</v>
      </c>
      <c r="B11" s="65" t="s">
        <v>80</v>
      </c>
      <c r="C11" s="65">
        <v>292</v>
      </c>
      <c r="D11" s="65">
        <v>816</v>
      </c>
      <c r="E11" s="65">
        <f t="shared" si="0"/>
        <v>238272</v>
      </c>
      <c r="J11" s="70">
        <v>45712</v>
      </c>
      <c r="K11" s="71" t="s">
        <v>80</v>
      </c>
      <c r="L11" s="69">
        <v>292</v>
      </c>
      <c r="M11" s="69">
        <v>816</v>
      </c>
      <c r="N11" s="69">
        <f t="shared" si="1"/>
        <v>238272</v>
      </c>
    </row>
    <row r="12" spans="1:17" ht="15.6" thickTop="1" thickBot="1" x14ac:dyDescent="0.35">
      <c r="A12" s="64">
        <v>45713</v>
      </c>
      <c r="B12" s="65" t="s">
        <v>81</v>
      </c>
      <c r="C12" s="65">
        <v>400</v>
      </c>
      <c r="D12" s="65">
        <v>932</v>
      </c>
      <c r="E12" s="65">
        <f t="shared" si="0"/>
        <v>372800</v>
      </c>
      <c r="J12" s="72">
        <v>45713</v>
      </c>
      <c r="K12" s="73" t="s">
        <v>81</v>
      </c>
      <c r="L12" s="67">
        <v>400</v>
      </c>
      <c r="M12" s="67">
        <v>932</v>
      </c>
      <c r="N12" s="67">
        <f t="shared" si="1"/>
        <v>372800</v>
      </c>
    </row>
    <row r="13" spans="1:17" ht="15.6" thickTop="1" thickBot="1" x14ac:dyDescent="0.35">
      <c r="A13" s="64">
        <v>45711</v>
      </c>
      <c r="B13" s="65" t="s">
        <v>82</v>
      </c>
      <c r="C13" s="65">
        <v>356</v>
      </c>
      <c r="D13" s="65">
        <v>814</v>
      </c>
      <c r="E13" s="65">
        <f t="shared" si="0"/>
        <v>289784</v>
      </c>
      <c r="J13" s="72">
        <v>45711</v>
      </c>
      <c r="K13" s="73" t="s">
        <v>82</v>
      </c>
      <c r="L13" s="67">
        <v>356</v>
      </c>
      <c r="M13" s="67">
        <v>814</v>
      </c>
      <c r="N13" s="67">
        <f t="shared" si="1"/>
        <v>289784</v>
      </c>
    </row>
    <row r="14" spans="1:17" ht="15.6" thickTop="1" thickBot="1" x14ac:dyDescent="0.35">
      <c r="A14" s="64">
        <v>45712</v>
      </c>
      <c r="B14" s="65" t="s">
        <v>83</v>
      </c>
      <c r="C14" s="65">
        <v>205</v>
      </c>
      <c r="D14" s="65">
        <v>657</v>
      </c>
      <c r="E14" s="65">
        <f t="shared" si="0"/>
        <v>134685</v>
      </c>
      <c r="J14" s="75">
        <v>45712</v>
      </c>
      <c r="K14" s="76" t="s">
        <v>83</v>
      </c>
      <c r="L14" s="74">
        <v>205</v>
      </c>
      <c r="M14" s="74">
        <v>657</v>
      </c>
      <c r="N14" s="74">
        <f t="shared" si="1"/>
        <v>134685</v>
      </c>
    </row>
    <row r="15" spans="1:17" ht="15" thickTop="1" x14ac:dyDescent="0.3"/>
  </sheetData>
  <mergeCells count="1">
    <mergeCell ref="P6:Q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E69D-AF4D-47EE-827E-E61BB644525D}">
  <sheetPr>
    <tabColor rgb="FF92D050"/>
  </sheetPr>
  <dimension ref="B4:K156"/>
  <sheetViews>
    <sheetView topLeftCell="A33" zoomScale="115" zoomScaleNormal="235" workbookViewId="0">
      <selection activeCell="H51" sqref="H51"/>
    </sheetView>
  </sheetViews>
  <sheetFormatPr defaultRowHeight="14.4" x14ac:dyDescent="0.3"/>
  <cols>
    <col min="2" max="4" width="16.21875" bestFit="1" customWidth="1"/>
    <col min="5" max="7" width="10.5546875" bestFit="1" customWidth="1"/>
    <col min="9" max="9" width="10.5546875" bestFit="1" customWidth="1"/>
    <col min="11" max="11" width="10.5546875" bestFit="1" customWidth="1"/>
  </cols>
  <sheetData>
    <row r="4" spans="2:7" x14ac:dyDescent="0.3">
      <c r="B4" s="40" t="s">
        <v>89</v>
      </c>
      <c r="C4" s="40" t="s">
        <v>89</v>
      </c>
      <c r="D4" s="40" t="s">
        <v>89</v>
      </c>
      <c r="E4" t="s">
        <v>91</v>
      </c>
    </row>
    <row r="5" spans="2:7" x14ac:dyDescent="0.3">
      <c r="C5" s="40" t="s">
        <v>89</v>
      </c>
    </row>
    <row r="6" spans="2:7" x14ac:dyDescent="0.3">
      <c r="C6" t="s">
        <v>90</v>
      </c>
    </row>
    <row r="14" spans="2:7" x14ac:dyDescent="0.3">
      <c r="C14" t="s">
        <v>93</v>
      </c>
      <c r="D14" t="s">
        <v>92</v>
      </c>
      <c r="E14">
        <v>2</v>
      </c>
      <c r="G14">
        <v>100</v>
      </c>
    </row>
    <row r="15" spans="2:7" x14ac:dyDescent="0.3">
      <c r="C15">
        <v>1</v>
      </c>
      <c r="D15">
        <v>1</v>
      </c>
      <c r="E15">
        <v>4</v>
      </c>
      <c r="G15">
        <v>95</v>
      </c>
    </row>
    <row r="16" spans="2:7" x14ac:dyDescent="0.3">
      <c r="C16">
        <v>2</v>
      </c>
      <c r="D16">
        <v>2</v>
      </c>
      <c r="E16">
        <v>6</v>
      </c>
      <c r="G16">
        <v>90</v>
      </c>
    </row>
    <row r="17" spans="3:7" x14ac:dyDescent="0.3">
      <c r="C17">
        <v>3</v>
      </c>
      <c r="D17">
        <v>3</v>
      </c>
      <c r="E17">
        <v>8</v>
      </c>
      <c r="G17">
        <v>85</v>
      </c>
    </row>
    <row r="18" spans="3:7" x14ac:dyDescent="0.3">
      <c r="C18">
        <v>4</v>
      </c>
      <c r="D18">
        <v>4</v>
      </c>
      <c r="E18">
        <v>10</v>
      </c>
      <c r="G18">
        <v>80</v>
      </c>
    </row>
    <row r="19" spans="3:7" x14ac:dyDescent="0.3">
      <c r="C19">
        <v>5</v>
      </c>
      <c r="D19">
        <v>5</v>
      </c>
      <c r="E19">
        <v>12</v>
      </c>
      <c r="G19">
        <v>75</v>
      </c>
    </row>
    <row r="20" spans="3:7" x14ac:dyDescent="0.3">
      <c r="C20">
        <v>6</v>
      </c>
      <c r="D20">
        <v>6</v>
      </c>
      <c r="E20">
        <v>14</v>
      </c>
      <c r="G20">
        <v>70</v>
      </c>
    </row>
    <row r="21" spans="3:7" x14ac:dyDescent="0.3">
      <c r="C21">
        <v>7</v>
      </c>
      <c r="D21">
        <v>7</v>
      </c>
      <c r="E21">
        <v>16</v>
      </c>
      <c r="G21">
        <v>65</v>
      </c>
    </row>
    <row r="22" spans="3:7" x14ac:dyDescent="0.3">
      <c r="C22">
        <v>8</v>
      </c>
      <c r="D22">
        <v>8</v>
      </c>
      <c r="E22">
        <v>18</v>
      </c>
      <c r="G22">
        <v>60</v>
      </c>
    </row>
    <row r="23" spans="3:7" x14ac:dyDescent="0.3">
      <c r="C23">
        <v>9</v>
      </c>
      <c r="D23">
        <v>9</v>
      </c>
      <c r="E23">
        <v>20</v>
      </c>
      <c r="G23">
        <v>55</v>
      </c>
    </row>
    <row r="24" spans="3:7" x14ac:dyDescent="0.3">
      <c r="C24">
        <v>10</v>
      </c>
      <c r="D24">
        <v>10</v>
      </c>
      <c r="G24">
        <v>50</v>
      </c>
    </row>
    <row r="25" spans="3:7" x14ac:dyDescent="0.3">
      <c r="G25">
        <v>45</v>
      </c>
    </row>
    <row r="26" spans="3:7" x14ac:dyDescent="0.3">
      <c r="G26">
        <v>40</v>
      </c>
    </row>
    <row r="27" spans="3:7" x14ac:dyDescent="0.3">
      <c r="G27">
        <v>35</v>
      </c>
    </row>
    <row r="28" spans="3:7" x14ac:dyDescent="0.3">
      <c r="G28">
        <v>30</v>
      </c>
    </row>
    <row r="29" spans="3:7" x14ac:dyDescent="0.3">
      <c r="G29">
        <v>25</v>
      </c>
    </row>
    <row r="30" spans="3:7" x14ac:dyDescent="0.3">
      <c r="G30">
        <v>20</v>
      </c>
    </row>
    <row r="31" spans="3:7" x14ac:dyDescent="0.3">
      <c r="G31">
        <v>15</v>
      </c>
    </row>
    <row r="32" spans="3:7" x14ac:dyDescent="0.3">
      <c r="G32">
        <v>10</v>
      </c>
    </row>
    <row r="33" spans="3:11" x14ac:dyDescent="0.3">
      <c r="G33">
        <v>5</v>
      </c>
    </row>
    <row r="34" spans="3:11" x14ac:dyDescent="0.3">
      <c r="G34">
        <v>0</v>
      </c>
    </row>
    <row r="41" spans="3:11" x14ac:dyDescent="0.3">
      <c r="C41" t="s">
        <v>94</v>
      </c>
      <c r="E41" t="s">
        <v>95</v>
      </c>
    </row>
    <row r="42" spans="3:11" x14ac:dyDescent="0.3">
      <c r="C42">
        <v>2</v>
      </c>
    </row>
    <row r="43" spans="3:11" x14ac:dyDescent="0.3">
      <c r="C43">
        <v>4</v>
      </c>
      <c r="E43" s="41">
        <v>46135</v>
      </c>
      <c r="F43" s="41">
        <v>46135</v>
      </c>
      <c r="G43" s="41">
        <v>45719</v>
      </c>
      <c r="I43" s="41">
        <v>46135</v>
      </c>
      <c r="K43" s="41">
        <v>46137</v>
      </c>
    </row>
    <row r="44" spans="3:11" x14ac:dyDescent="0.3">
      <c r="C44">
        <v>8</v>
      </c>
      <c r="E44" s="41">
        <v>46136</v>
      </c>
      <c r="F44" s="41">
        <v>46136</v>
      </c>
      <c r="I44" s="41">
        <v>46136</v>
      </c>
      <c r="K44" s="41">
        <v>46167</v>
      </c>
    </row>
    <row r="45" spans="3:11" x14ac:dyDescent="0.3">
      <c r="C45">
        <v>16</v>
      </c>
      <c r="E45" s="41">
        <v>46137</v>
      </c>
      <c r="F45" s="41">
        <v>46137</v>
      </c>
      <c r="I45" s="41">
        <v>46139</v>
      </c>
      <c r="K45" s="41">
        <v>46198</v>
      </c>
    </row>
    <row r="46" spans="3:11" x14ac:dyDescent="0.3">
      <c r="C46">
        <v>32</v>
      </c>
      <c r="E46" s="41">
        <v>46138</v>
      </c>
      <c r="F46" s="41">
        <v>46138</v>
      </c>
      <c r="I46" s="41">
        <v>46140</v>
      </c>
      <c r="K46" s="41">
        <v>46228</v>
      </c>
    </row>
    <row r="47" spans="3:11" x14ac:dyDescent="0.3">
      <c r="C47">
        <v>64</v>
      </c>
      <c r="E47" s="41">
        <v>46139</v>
      </c>
      <c r="F47" s="41">
        <v>46139</v>
      </c>
      <c r="I47" s="41">
        <v>46141</v>
      </c>
      <c r="K47" s="41">
        <v>46259</v>
      </c>
    </row>
    <row r="48" spans="3:11" x14ac:dyDescent="0.3">
      <c r="E48" s="41">
        <v>46140</v>
      </c>
      <c r="F48" s="41">
        <v>46140</v>
      </c>
      <c r="I48" s="41">
        <v>46142</v>
      </c>
      <c r="K48" s="41">
        <v>46290</v>
      </c>
    </row>
    <row r="49" spans="4:11" x14ac:dyDescent="0.3">
      <c r="E49" s="41">
        <v>46141</v>
      </c>
      <c r="F49" s="41">
        <v>46141</v>
      </c>
      <c r="I49" s="41">
        <v>46143</v>
      </c>
      <c r="K49" s="41">
        <v>46320</v>
      </c>
    </row>
    <row r="50" spans="4:11" x14ac:dyDescent="0.3">
      <c r="E50" s="41">
        <v>46142</v>
      </c>
      <c r="F50" s="41">
        <v>46142</v>
      </c>
      <c r="K50" s="41">
        <v>46351</v>
      </c>
    </row>
    <row r="51" spans="4:11" x14ac:dyDescent="0.3">
      <c r="F51" s="41">
        <v>46143</v>
      </c>
    </row>
    <row r="52" spans="4:11" x14ac:dyDescent="0.3">
      <c r="F52" s="41">
        <v>46144</v>
      </c>
    </row>
    <row r="53" spans="4:11" x14ac:dyDescent="0.3">
      <c r="F53" s="41">
        <v>46145</v>
      </c>
    </row>
    <row r="56" spans="4:11" x14ac:dyDescent="0.3">
      <c r="D56" t="s">
        <v>96</v>
      </c>
    </row>
    <row r="57" spans="4:11" x14ac:dyDescent="0.3">
      <c r="D57" cm="1">
        <f t="array" ref="D57:D156">_xlfn.SEQUENCE(100)</f>
        <v>1</v>
      </c>
    </row>
    <row r="58" spans="4:11" x14ac:dyDescent="0.3">
      <c r="D58">
        <v>2</v>
      </c>
    </row>
    <row r="59" spans="4:11" x14ac:dyDescent="0.3">
      <c r="D59">
        <v>3</v>
      </c>
    </row>
    <row r="60" spans="4:11" x14ac:dyDescent="0.3">
      <c r="D60">
        <v>4</v>
      </c>
    </row>
    <row r="61" spans="4:11" x14ac:dyDescent="0.3">
      <c r="D61">
        <v>5</v>
      </c>
    </row>
    <row r="62" spans="4:11" x14ac:dyDescent="0.3">
      <c r="D62">
        <v>6</v>
      </c>
    </row>
    <row r="63" spans="4:11" x14ac:dyDescent="0.3">
      <c r="D63">
        <v>7</v>
      </c>
    </row>
    <row r="64" spans="4:11" x14ac:dyDescent="0.3">
      <c r="D64">
        <v>8</v>
      </c>
    </row>
    <row r="65" spans="4:4" x14ac:dyDescent="0.3">
      <c r="D65">
        <v>9</v>
      </c>
    </row>
    <row r="66" spans="4:4" x14ac:dyDescent="0.3">
      <c r="D66">
        <v>10</v>
      </c>
    </row>
    <row r="67" spans="4:4" x14ac:dyDescent="0.3">
      <c r="D67">
        <v>11</v>
      </c>
    </row>
    <row r="68" spans="4:4" x14ac:dyDescent="0.3">
      <c r="D68">
        <v>12</v>
      </c>
    </row>
    <row r="69" spans="4:4" x14ac:dyDescent="0.3">
      <c r="D69">
        <v>13</v>
      </c>
    </row>
    <row r="70" spans="4:4" x14ac:dyDescent="0.3">
      <c r="D70">
        <v>14</v>
      </c>
    </row>
    <row r="71" spans="4:4" x14ac:dyDescent="0.3">
      <c r="D71">
        <v>15</v>
      </c>
    </row>
    <row r="72" spans="4:4" x14ac:dyDescent="0.3">
      <c r="D72">
        <v>16</v>
      </c>
    </row>
    <row r="73" spans="4:4" x14ac:dyDescent="0.3">
      <c r="D73">
        <v>17</v>
      </c>
    </row>
    <row r="74" spans="4:4" x14ac:dyDescent="0.3">
      <c r="D74">
        <v>18</v>
      </c>
    </row>
    <row r="75" spans="4:4" x14ac:dyDescent="0.3">
      <c r="D75">
        <v>19</v>
      </c>
    </row>
    <row r="76" spans="4:4" x14ac:dyDescent="0.3">
      <c r="D76">
        <v>20</v>
      </c>
    </row>
    <row r="77" spans="4:4" x14ac:dyDescent="0.3">
      <c r="D77">
        <v>21</v>
      </c>
    </row>
    <row r="78" spans="4:4" x14ac:dyDescent="0.3">
      <c r="D78">
        <v>22</v>
      </c>
    </row>
    <row r="79" spans="4:4" x14ac:dyDescent="0.3">
      <c r="D79">
        <v>23</v>
      </c>
    </row>
    <row r="80" spans="4:4" x14ac:dyDescent="0.3">
      <c r="D80">
        <v>24</v>
      </c>
    </row>
    <row r="81" spans="4:4" x14ac:dyDescent="0.3">
      <c r="D81">
        <v>25</v>
      </c>
    </row>
    <row r="82" spans="4:4" x14ac:dyDescent="0.3">
      <c r="D82">
        <v>26</v>
      </c>
    </row>
    <row r="83" spans="4:4" x14ac:dyDescent="0.3">
      <c r="D83">
        <v>27</v>
      </c>
    </row>
    <row r="84" spans="4:4" x14ac:dyDescent="0.3">
      <c r="D84">
        <v>28</v>
      </c>
    </row>
    <row r="85" spans="4:4" x14ac:dyDescent="0.3">
      <c r="D85">
        <v>29</v>
      </c>
    </row>
    <row r="86" spans="4:4" x14ac:dyDescent="0.3">
      <c r="D86">
        <v>30</v>
      </c>
    </row>
    <row r="87" spans="4:4" x14ac:dyDescent="0.3">
      <c r="D87">
        <v>31</v>
      </c>
    </row>
    <row r="88" spans="4:4" x14ac:dyDescent="0.3">
      <c r="D88">
        <v>32</v>
      </c>
    </row>
    <row r="89" spans="4:4" x14ac:dyDescent="0.3">
      <c r="D89">
        <v>33</v>
      </c>
    </row>
    <row r="90" spans="4:4" x14ac:dyDescent="0.3">
      <c r="D90">
        <v>34</v>
      </c>
    </row>
    <row r="91" spans="4:4" x14ac:dyDescent="0.3">
      <c r="D91">
        <v>35</v>
      </c>
    </row>
    <row r="92" spans="4:4" x14ac:dyDescent="0.3">
      <c r="D92">
        <v>36</v>
      </c>
    </row>
    <row r="93" spans="4:4" x14ac:dyDescent="0.3">
      <c r="D93">
        <v>37</v>
      </c>
    </row>
    <row r="94" spans="4:4" x14ac:dyDescent="0.3">
      <c r="D94">
        <v>38</v>
      </c>
    </row>
    <row r="95" spans="4:4" x14ac:dyDescent="0.3">
      <c r="D95">
        <v>39</v>
      </c>
    </row>
    <row r="96" spans="4:4" x14ac:dyDescent="0.3">
      <c r="D96">
        <v>40</v>
      </c>
    </row>
    <row r="97" spans="4:4" x14ac:dyDescent="0.3">
      <c r="D97">
        <v>41</v>
      </c>
    </row>
    <row r="98" spans="4:4" x14ac:dyDescent="0.3">
      <c r="D98">
        <v>42</v>
      </c>
    </row>
    <row r="99" spans="4:4" x14ac:dyDescent="0.3">
      <c r="D99">
        <v>43</v>
      </c>
    </row>
    <row r="100" spans="4:4" x14ac:dyDescent="0.3">
      <c r="D100">
        <v>44</v>
      </c>
    </row>
    <row r="101" spans="4:4" x14ac:dyDescent="0.3">
      <c r="D101">
        <v>45</v>
      </c>
    </row>
    <row r="102" spans="4:4" x14ac:dyDescent="0.3">
      <c r="D102">
        <v>46</v>
      </c>
    </row>
    <row r="103" spans="4:4" x14ac:dyDescent="0.3">
      <c r="D103">
        <v>47</v>
      </c>
    </row>
    <row r="104" spans="4:4" x14ac:dyDescent="0.3">
      <c r="D104">
        <v>48</v>
      </c>
    </row>
    <row r="105" spans="4:4" x14ac:dyDescent="0.3">
      <c r="D105">
        <v>49</v>
      </c>
    </row>
    <row r="106" spans="4:4" x14ac:dyDescent="0.3">
      <c r="D106">
        <v>50</v>
      </c>
    </row>
    <row r="107" spans="4:4" x14ac:dyDescent="0.3">
      <c r="D107">
        <v>51</v>
      </c>
    </row>
    <row r="108" spans="4:4" x14ac:dyDescent="0.3">
      <c r="D108">
        <v>52</v>
      </c>
    </row>
    <row r="109" spans="4:4" x14ac:dyDescent="0.3">
      <c r="D109">
        <v>53</v>
      </c>
    </row>
    <row r="110" spans="4:4" x14ac:dyDescent="0.3">
      <c r="D110">
        <v>54</v>
      </c>
    </row>
    <row r="111" spans="4:4" x14ac:dyDescent="0.3">
      <c r="D111">
        <v>55</v>
      </c>
    </row>
    <row r="112" spans="4:4" x14ac:dyDescent="0.3">
      <c r="D112">
        <v>56</v>
      </c>
    </row>
    <row r="113" spans="4:4" x14ac:dyDescent="0.3">
      <c r="D113">
        <v>57</v>
      </c>
    </row>
    <row r="114" spans="4:4" x14ac:dyDescent="0.3">
      <c r="D114">
        <v>58</v>
      </c>
    </row>
    <row r="115" spans="4:4" x14ac:dyDescent="0.3">
      <c r="D115">
        <v>59</v>
      </c>
    </row>
    <row r="116" spans="4:4" x14ac:dyDescent="0.3">
      <c r="D116">
        <v>60</v>
      </c>
    </row>
    <row r="117" spans="4:4" x14ac:dyDescent="0.3">
      <c r="D117">
        <v>61</v>
      </c>
    </row>
    <row r="118" spans="4:4" x14ac:dyDescent="0.3">
      <c r="D118">
        <v>62</v>
      </c>
    </row>
    <row r="119" spans="4:4" x14ac:dyDescent="0.3">
      <c r="D119">
        <v>63</v>
      </c>
    </row>
    <row r="120" spans="4:4" x14ac:dyDescent="0.3">
      <c r="D120">
        <v>64</v>
      </c>
    </row>
    <row r="121" spans="4:4" x14ac:dyDescent="0.3">
      <c r="D121">
        <v>65</v>
      </c>
    </row>
    <row r="122" spans="4:4" x14ac:dyDescent="0.3">
      <c r="D122">
        <v>66</v>
      </c>
    </row>
    <row r="123" spans="4:4" x14ac:dyDescent="0.3">
      <c r="D123">
        <v>67</v>
      </c>
    </row>
    <row r="124" spans="4:4" x14ac:dyDescent="0.3">
      <c r="D124">
        <v>68</v>
      </c>
    </row>
    <row r="125" spans="4:4" x14ac:dyDescent="0.3">
      <c r="D125">
        <v>69</v>
      </c>
    </row>
    <row r="126" spans="4:4" x14ac:dyDescent="0.3">
      <c r="D126">
        <v>70</v>
      </c>
    </row>
    <row r="127" spans="4:4" x14ac:dyDescent="0.3">
      <c r="D127">
        <v>71</v>
      </c>
    </row>
    <row r="128" spans="4:4" x14ac:dyDescent="0.3">
      <c r="D128">
        <v>72</v>
      </c>
    </row>
    <row r="129" spans="4:4" x14ac:dyDescent="0.3">
      <c r="D129">
        <v>73</v>
      </c>
    </row>
    <row r="130" spans="4:4" x14ac:dyDescent="0.3">
      <c r="D130">
        <v>74</v>
      </c>
    </row>
    <row r="131" spans="4:4" x14ac:dyDescent="0.3">
      <c r="D131">
        <v>75</v>
      </c>
    </row>
    <row r="132" spans="4:4" x14ac:dyDescent="0.3">
      <c r="D132">
        <v>76</v>
      </c>
    </row>
    <row r="133" spans="4:4" x14ac:dyDescent="0.3">
      <c r="D133">
        <v>77</v>
      </c>
    </row>
    <row r="134" spans="4:4" x14ac:dyDescent="0.3">
      <c r="D134">
        <v>78</v>
      </c>
    </row>
    <row r="135" spans="4:4" x14ac:dyDescent="0.3">
      <c r="D135">
        <v>79</v>
      </c>
    </row>
    <row r="136" spans="4:4" x14ac:dyDescent="0.3">
      <c r="D136">
        <v>80</v>
      </c>
    </row>
    <row r="137" spans="4:4" x14ac:dyDescent="0.3">
      <c r="D137">
        <v>81</v>
      </c>
    </row>
    <row r="138" spans="4:4" x14ac:dyDescent="0.3">
      <c r="D138">
        <v>82</v>
      </c>
    </row>
    <row r="139" spans="4:4" x14ac:dyDescent="0.3">
      <c r="D139">
        <v>83</v>
      </c>
    </row>
    <row r="140" spans="4:4" x14ac:dyDescent="0.3">
      <c r="D140">
        <v>84</v>
      </c>
    </row>
    <row r="141" spans="4:4" x14ac:dyDescent="0.3">
      <c r="D141">
        <v>85</v>
      </c>
    </row>
    <row r="142" spans="4:4" x14ac:dyDescent="0.3">
      <c r="D142">
        <v>86</v>
      </c>
    </row>
    <row r="143" spans="4:4" x14ac:dyDescent="0.3">
      <c r="D143">
        <v>87</v>
      </c>
    </row>
    <row r="144" spans="4:4" x14ac:dyDescent="0.3">
      <c r="D144">
        <v>88</v>
      </c>
    </row>
    <row r="145" spans="4:4" x14ac:dyDescent="0.3">
      <c r="D145">
        <v>89</v>
      </c>
    </row>
    <row r="146" spans="4:4" x14ac:dyDescent="0.3">
      <c r="D146">
        <v>90</v>
      </c>
    </row>
    <row r="147" spans="4:4" x14ac:dyDescent="0.3">
      <c r="D147">
        <v>91</v>
      </c>
    </row>
    <row r="148" spans="4:4" x14ac:dyDescent="0.3">
      <c r="D148">
        <v>92</v>
      </c>
    </row>
    <row r="149" spans="4:4" x14ac:dyDescent="0.3">
      <c r="D149">
        <v>93</v>
      </c>
    </row>
    <row r="150" spans="4:4" x14ac:dyDescent="0.3">
      <c r="D150">
        <v>94</v>
      </c>
    </row>
    <row r="151" spans="4:4" x14ac:dyDescent="0.3">
      <c r="D151">
        <v>95</v>
      </c>
    </row>
    <row r="152" spans="4:4" x14ac:dyDescent="0.3">
      <c r="D152">
        <v>96</v>
      </c>
    </row>
    <row r="153" spans="4:4" x14ac:dyDescent="0.3">
      <c r="D153">
        <v>97</v>
      </c>
    </row>
    <row r="154" spans="4:4" x14ac:dyDescent="0.3">
      <c r="D154">
        <v>98</v>
      </c>
    </row>
    <row r="155" spans="4:4" x14ac:dyDescent="0.3">
      <c r="D155">
        <v>99</v>
      </c>
    </row>
    <row r="156" spans="4:4" x14ac:dyDescent="0.3">
      <c r="D156">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515B-A7E8-472F-BC43-29E74B63A815}">
  <dimension ref="A1:M501"/>
  <sheetViews>
    <sheetView zoomScale="93" workbookViewId="0">
      <selection activeCell="K460" sqref="K460"/>
    </sheetView>
  </sheetViews>
  <sheetFormatPr defaultRowHeight="14.4" x14ac:dyDescent="0.3"/>
  <cols>
    <col min="1" max="1" width="17.33203125" bestFit="1" customWidth="1"/>
    <col min="2" max="2" width="26.6640625" bestFit="1" customWidth="1"/>
    <col min="3" max="3" width="16.88671875" bestFit="1" customWidth="1"/>
    <col min="4" max="4" width="23.6640625" bestFit="1" customWidth="1"/>
    <col min="5" max="5" width="16.109375" bestFit="1" customWidth="1"/>
    <col min="6" max="6" width="14.88671875" bestFit="1" customWidth="1"/>
    <col min="7" max="7" width="16.5546875" bestFit="1" customWidth="1"/>
    <col min="8" max="8" width="11.109375" bestFit="1" customWidth="1"/>
    <col min="9" max="9" width="7.44140625" bestFit="1" customWidth="1"/>
    <col min="10" max="10" width="18.77734375" bestFit="1" customWidth="1"/>
    <col min="11" max="11" width="17.88671875" bestFit="1" customWidth="1"/>
    <col min="12" max="12" width="12.77734375" bestFit="1" customWidth="1"/>
  </cols>
  <sheetData>
    <row r="1" spans="1:13" ht="21.6" thickBot="1" x14ac:dyDescent="0.35">
      <c r="A1" s="82" t="s">
        <v>97</v>
      </c>
      <c r="B1" s="83" t="s">
        <v>2</v>
      </c>
      <c r="C1" s="83" t="s">
        <v>98</v>
      </c>
      <c r="D1" s="83" t="s">
        <v>99</v>
      </c>
      <c r="E1" s="83" t="s">
        <v>100</v>
      </c>
      <c r="F1" s="83" t="s">
        <v>101</v>
      </c>
      <c r="G1" s="83" t="s">
        <v>57</v>
      </c>
      <c r="H1" s="83" t="s">
        <v>102</v>
      </c>
      <c r="I1" s="83" t="s">
        <v>103</v>
      </c>
      <c r="J1" s="84" t="s">
        <v>104</v>
      </c>
      <c r="K1" s="84" t="s">
        <v>105</v>
      </c>
      <c r="L1" s="84" t="s">
        <v>106</v>
      </c>
      <c r="M1" s="84" t="s">
        <v>107</v>
      </c>
    </row>
    <row r="2" spans="1:13" ht="15.6" thickTop="1" thickBot="1" x14ac:dyDescent="0.35">
      <c r="A2" s="85">
        <v>45432</v>
      </c>
      <c r="B2" s="91" t="s">
        <v>185</v>
      </c>
      <c r="C2" s="86" t="s">
        <v>127</v>
      </c>
      <c r="D2" s="86" t="s">
        <v>186</v>
      </c>
      <c r="E2" s="86" t="s">
        <v>129</v>
      </c>
      <c r="F2" s="86" t="s">
        <v>123</v>
      </c>
      <c r="G2" s="86">
        <v>79</v>
      </c>
      <c r="H2" s="86">
        <v>616</v>
      </c>
      <c r="I2" s="86">
        <v>944</v>
      </c>
      <c r="J2" s="87">
        <v>48664</v>
      </c>
      <c r="K2" s="87">
        <v>74576</v>
      </c>
      <c r="L2" s="87">
        <v>25912</v>
      </c>
      <c r="M2" s="87" t="s">
        <v>116</v>
      </c>
    </row>
    <row r="3" spans="1:13" ht="15.6" thickTop="1" thickBot="1" x14ac:dyDescent="0.35">
      <c r="A3" s="85">
        <v>45432</v>
      </c>
      <c r="B3" s="86" t="s">
        <v>185</v>
      </c>
      <c r="C3" s="86" t="s">
        <v>127</v>
      </c>
      <c r="D3" s="86" t="s">
        <v>186</v>
      </c>
      <c r="E3" s="86" t="s">
        <v>129</v>
      </c>
      <c r="F3" s="86" t="s">
        <v>123</v>
      </c>
      <c r="G3" s="86">
        <v>63</v>
      </c>
      <c r="H3" s="86">
        <v>929</v>
      </c>
      <c r="I3" s="86">
        <v>1320</v>
      </c>
      <c r="J3" s="87">
        <v>58527</v>
      </c>
      <c r="K3" s="87">
        <v>83160</v>
      </c>
      <c r="L3" s="87">
        <v>24633</v>
      </c>
      <c r="M3" s="87" t="s">
        <v>116</v>
      </c>
    </row>
    <row r="4" spans="1:13" ht="15.6" thickTop="1" thickBot="1" x14ac:dyDescent="0.35">
      <c r="A4" s="85">
        <v>45578</v>
      </c>
      <c r="B4" s="86" t="s">
        <v>222</v>
      </c>
      <c r="C4" s="86" t="s">
        <v>127</v>
      </c>
      <c r="D4" s="86" t="s">
        <v>205</v>
      </c>
      <c r="E4" s="86" t="s">
        <v>120</v>
      </c>
      <c r="F4" s="86" t="s">
        <v>123</v>
      </c>
      <c r="G4" s="86">
        <v>57</v>
      </c>
      <c r="H4" s="86">
        <v>927</v>
      </c>
      <c r="I4" s="86">
        <v>1477</v>
      </c>
      <c r="J4" s="87">
        <v>52839</v>
      </c>
      <c r="K4" s="87">
        <v>84189</v>
      </c>
      <c r="L4" s="87">
        <v>31350</v>
      </c>
      <c r="M4" s="87" t="s">
        <v>116</v>
      </c>
    </row>
    <row r="5" spans="1:13" ht="15.6" thickTop="1" thickBot="1" x14ac:dyDescent="0.35">
      <c r="A5" s="85">
        <v>45684</v>
      </c>
      <c r="B5" s="86" t="s">
        <v>196</v>
      </c>
      <c r="C5" s="86" t="s">
        <v>109</v>
      </c>
      <c r="D5" s="86" t="s">
        <v>131</v>
      </c>
      <c r="E5" s="86" t="s">
        <v>125</v>
      </c>
      <c r="F5" s="86" t="s">
        <v>123</v>
      </c>
      <c r="G5" s="86">
        <v>19</v>
      </c>
      <c r="H5" s="86">
        <v>595</v>
      </c>
      <c r="I5" s="86">
        <v>1424</v>
      </c>
      <c r="J5" s="87">
        <v>11305</v>
      </c>
      <c r="K5" s="87">
        <v>27056</v>
      </c>
      <c r="L5" s="87">
        <v>15751</v>
      </c>
      <c r="M5" s="87" t="s">
        <v>116</v>
      </c>
    </row>
    <row r="6" spans="1:13" ht="15.6" thickTop="1" thickBot="1" x14ac:dyDescent="0.35">
      <c r="A6" s="85">
        <v>45684</v>
      </c>
      <c r="B6" s="86" t="s">
        <v>196</v>
      </c>
      <c r="C6" s="86" t="s">
        <v>109</v>
      </c>
      <c r="D6" s="86" t="s">
        <v>131</v>
      </c>
      <c r="E6" s="86" t="s">
        <v>125</v>
      </c>
      <c r="F6" s="86" t="s">
        <v>123</v>
      </c>
      <c r="G6" s="86">
        <v>19</v>
      </c>
      <c r="H6" s="86">
        <v>701</v>
      </c>
      <c r="I6" s="86">
        <v>1136</v>
      </c>
      <c r="J6" s="87">
        <v>13319</v>
      </c>
      <c r="K6" s="87">
        <v>21584</v>
      </c>
      <c r="L6" s="87">
        <v>8265</v>
      </c>
      <c r="M6" s="87" t="s">
        <v>116</v>
      </c>
    </row>
    <row r="7" spans="1:13" ht="15.6" thickTop="1" thickBot="1" x14ac:dyDescent="0.35">
      <c r="A7" s="85">
        <v>45684</v>
      </c>
      <c r="B7" s="86" t="s">
        <v>196</v>
      </c>
      <c r="C7" s="86" t="s">
        <v>109</v>
      </c>
      <c r="D7" s="86" t="s">
        <v>131</v>
      </c>
      <c r="E7" s="86" t="s">
        <v>125</v>
      </c>
      <c r="F7" s="86" t="s">
        <v>123</v>
      </c>
      <c r="G7" s="86">
        <v>16</v>
      </c>
      <c r="H7" s="86">
        <v>731</v>
      </c>
      <c r="I7" s="86">
        <v>1296</v>
      </c>
      <c r="J7" s="87">
        <v>11696</v>
      </c>
      <c r="K7" s="87">
        <v>20736</v>
      </c>
      <c r="L7" s="87">
        <v>9040</v>
      </c>
      <c r="M7" s="87" t="s">
        <v>116</v>
      </c>
    </row>
    <row r="8" spans="1:13" ht="15.6" thickTop="1" thickBot="1" x14ac:dyDescent="0.35">
      <c r="A8" s="85">
        <v>45520</v>
      </c>
      <c r="B8" s="86" t="s">
        <v>209</v>
      </c>
      <c r="C8" s="86" t="s">
        <v>139</v>
      </c>
      <c r="D8" s="86" t="s">
        <v>205</v>
      </c>
      <c r="E8" s="86" t="s">
        <v>145</v>
      </c>
      <c r="F8" s="86" t="s">
        <v>123</v>
      </c>
      <c r="G8" s="86">
        <v>26</v>
      </c>
      <c r="H8" s="86">
        <v>715</v>
      </c>
      <c r="I8" s="86">
        <v>840</v>
      </c>
      <c r="J8" s="87">
        <v>18590</v>
      </c>
      <c r="K8" s="87">
        <v>21840</v>
      </c>
      <c r="L8" s="87">
        <v>3250</v>
      </c>
      <c r="M8" s="87" t="s">
        <v>116</v>
      </c>
    </row>
    <row r="9" spans="1:13" ht="15.6" thickTop="1" thickBot="1" x14ac:dyDescent="0.35">
      <c r="A9" s="85">
        <v>45520</v>
      </c>
      <c r="B9" s="86" t="s">
        <v>209</v>
      </c>
      <c r="C9" s="86" t="s">
        <v>139</v>
      </c>
      <c r="D9" s="86" t="s">
        <v>205</v>
      </c>
      <c r="E9" s="86" t="s">
        <v>145</v>
      </c>
      <c r="F9" s="86" t="s">
        <v>123</v>
      </c>
      <c r="G9" s="86">
        <v>23</v>
      </c>
      <c r="H9" s="86">
        <v>884</v>
      </c>
      <c r="I9" s="86">
        <v>1392</v>
      </c>
      <c r="J9" s="87">
        <v>20332</v>
      </c>
      <c r="K9" s="87">
        <v>32016</v>
      </c>
      <c r="L9" s="87">
        <v>11684</v>
      </c>
      <c r="M9" s="87" t="s">
        <v>116</v>
      </c>
    </row>
    <row r="10" spans="1:13" ht="15.6" thickTop="1" thickBot="1" x14ac:dyDescent="0.35">
      <c r="A10" s="85">
        <v>45568</v>
      </c>
      <c r="B10" s="86" t="s">
        <v>177</v>
      </c>
      <c r="C10" s="86" t="s">
        <v>109</v>
      </c>
      <c r="D10" s="86" t="s">
        <v>110</v>
      </c>
      <c r="E10" s="86" t="s">
        <v>133</v>
      </c>
      <c r="F10" s="86" t="s">
        <v>112</v>
      </c>
      <c r="G10" s="86">
        <v>12</v>
      </c>
      <c r="H10" s="86">
        <v>516</v>
      </c>
      <c r="I10" s="86">
        <v>857</v>
      </c>
      <c r="J10" s="87">
        <v>6192</v>
      </c>
      <c r="K10" s="87">
        <v>10284</v>
      </c>
      <c r="L10" s="87">
        <v>4092</v>
      </c>
      <c r="M10" s="87" t="s">
        <v>116</v>
      </c>
    </row>
    <row r="11" spans="1:13" ht="15.6" thickTop="1" thickBot="1" x14ac:dyDescent="0.35">
      <c r="A11" s="85">
        <v>45568</v>
      </c>
      <c r="B11" s="86" t="s">
        <v>177</v>
      </c>
      <c r="C11" s="86" t="s">
        <v>109</v>
      </c>
      <c r="D11" s="86" t="s">
        <v>110</v>
      </c>
      <c r="E11" s="86" t="s">
        <v>133</v>
      </c>
      <c r="F11" s="86" t="s">
        <v>112</v>
      </c>
      <c r="G11" s="86">
        <v>18</v>
      </c>
      <c r="H11" s="86">
        <v>668</v>
      </c>
      <c r="I11" s="86">
        <v>1366</v>
      </c>
      <c r="J11" s="87">
        <v>12024</v>
      </c>
      <c r="K11" s="87">
        <v>24588</v>
      </c>
      <c r="L11" s="87">
        <v>12564</v>
      </c>
      <c r="M11" s="87" t="s">
        <v>116</v>
      </c>
    </row>
    <row r="12" spans="1:13" ht="15.6" thickTop="1" thickBot="1" x14ac:dyDescent="0.35">
      <c r="A12" s="85">
        <v>45568</v>
      </c>
      <c r="B12" s="86" t="s">
        <v>177</v>
      </c>
      <c r="C12" s="86" t="s">
        <v>109</v>
      </c>
      <c r="D12" s="86" t="s">
        <v>110</v>
      </c>
      <c r="E12" s="86" t="s">
        <v>133</v>
      </c>
      <c r="F12" s="86" t="s">
        <v>112</v>
      </c>
      <c r="G12" s="86">
        <v>19</v>
      </c>
      <c r="H12" s="86">
        <v>764</v>
      </c>
      <c r="I12" s="86">
        <v>1069</v>
      </c>
      <c r="J12" s="87">
        <v>14516</v>
      </c>
      <c r="K12" s="87">
        <v>20311</v>
      </c>
      <c r="L12" s="87">
        <v>5795</v>
      </c>
      <c r="M12" s="87" t="s">
        <v>116</v>
      </c>
    </row>
    <row r="13" spans="1:13" ht="15.6" thickTop="1" thickBot="1" x14ac:dyDescent="0.35">
      <c r="A13" s="85">
        <v>45599</v>
      </c>
      <c r="B13" s="86" t="s">
        <v>295</v>
      </c>
      <c r="C13" s="86" t="s">
        <v>139</v>
      </c>
      <c r="D13" s="86" t="s">
        <v>140</v>
      </c>
      <c r="E13" s="86" t="s">
        <v>120</v>
      </c>
      <c r="F13" s="86" t="s">
        <v>112</v>
      </c>
      <c r="G13" s="86">
        <v>27</v>
      </c>
      <c r="H13" s="86">
        <v>752</v>
      </c>
      <c r="I13" s="86">
        <v>1258</v>
      </c>
      <c r="J13" s="87">
        <v>20304</v>
      </c>
      <c r="K13" s="87">
        <v>33966</v>
      </c>
      <c r="L13" s="87">
        <v>13662</v>
      </c>
      <c r="M13" s="87" t="s">
        <v>116</v>
      </c>
    </row>
    <row r="14" spans="1:13" ht="15.6" thickTop="1" thickBot="1" x14ac:dyDescent="0.35">
      <c r="A14" s="85">
        <v>45599</v>
      </c>
      <c r="B14" s="86" t="s">
        <v>295</v>
      </c>
      <c r="C14" s="86" t="s">
        <v>139</v>
      </c>
      <c r="D14" s="86" t="s">
        <v>140</v>
      </c>
      <c r="E14" s="86" t="s">
        <v>120</v>
      </c>
      <c r="F14" s="86" t="s">
        <v>112</v>
      </c>
      <c r="G14" s="86">
        <v>29</v>
      </c>
      <c r="H14" s="86">
        <v>724</v>
      </c>
      <c r="I14" s="86">
        <v>858</v>
      </c>
      <c r="J14" s="87">
        <v>20996</v>
      </c>
      <c r="K14" s="87">
        <v>24882</v>
      </c>
      <c r="L14" s="87">
        <v>3886</v>
      </c>
      <c r="M14" s="87" t="s">
        <v>116</v>
      </c>
    </row>
    <row r="15" spans="1:13" ht="15.6" thickTop="1" thickBot="1" x14ac:dyDescent="0.35">
      <c r="A15" s="85">
        <v>45599</v>
      </c>
      <c r="B15" s="86" t="s">
        <v>295</v>
      </c>
      <c r="C15" s="86" t="s">
        <v>139</v>
      </c>
      <c r="D15" s="86" t="s">
        <v>140</v>
      </c>
      <c r="E15" s="86" t="s">
        <v>120</v>
      </c>
      <c r="F15" s="86" t="s">
        <v>112</v>
      </c>
      <c r="G15" s="86">
        <v>29</v>
      </c>
      <c r="H15" s="86">
        <v>813</v>
      </c>
      <c r="I15" s="86">
        <v>1241</v>
      </c>
      <c r="J15" s="87">
        <v>23577</v>
      </c>
      <c r="K15" s="87">
        <v>35989</v>
      </c>
      <c r="L15" s="87">
        <v>12412</v>
      </c>
      <c r="M15" s="87" t="s">
        <v>116</v>
      </c>
    </row>
    <row r="16" spans="1:13" ht="15.6" thickTop="1" thickBot="1" x14ac:dyDescent="0.35">
      <c r="A16" s="85">
        <v>45693</v>
      </c>
      <c r="B16" s="86" t="s">
        <v>329</v>
      </c>
      <c r="C16" s="86" t="s">
        <v>139</v>
      </c>
      <c r="D16" s="86" t="s">
        <v>205</v>
      </c>
      <c r="E16" s="86" t="s">
        <v>115</v>
      </c>
      <c r="F16" s="86" t="s">
        <v>123</v>
      </c>
      <c r="G16" s="86">
        <v>24</v>
      </c>
      <c r="H16" s="86">
        <v>993</v>
      </c>
      <c r="I16" s="86">
        <v>987</v>
      </c>
      <c r="J16" s="87">
        <v>23832</v>
      </c>
      <c r="K16" s="87">
        <v>23688</v>
      </c>
      <c r="L16" s="87">
        <v>-144</v>
      </c>
      <c r="M16" s="87" t="s">
        <v>113</v>
      </c>
    </row>
    <row r="17" spans="1:13" ht="15.6" thickTop="1" thickBot="1" x14ac:dyDescent="0.35">
      <c r="A17" s="85">
        <v>45693</v>
      </c>
      <c r="B17" s="86" t="s">
        <v>329</v>
      </c>
      <c r="C17" s="86" t="s">
        <v>139</v>
      </c>
      <c r="D17" s="86" t="s">
        <v>205</v>
      </c>
      <c r="E17" s="86" t="s">
        <v>115</v>
      </c>
      <c r="F17" s="86" t="s">
        <v>123</v>
      </c>
      <c r="G17" s="86">
        <v>25</v>
      </c>
      <c r="H17" s="86">
        <v>975</v>
      </c>
      <c r="I17" s="86">
        <v>935</v>
      </c>
      <c r="J17" s="87">
        <v>24375</v>
      </c>
      <c r="K17" s="87">
        <v>23375</v>
      </c>
      <c r="L17" s="87">
        <v>-1000</v>
      </c>
      <c r="M17" s="87" t="s">
        <v>113</v>
      </c>
    </row>
    <row r="18" spans="1:13" ht="15.6" thickTop="1" thickBot="1" x14ac:dyDescent="0.35">
      <c r="A18" s="85">
        <v>45590</v>
      </c>
      <c r="B18" s="90" t="s">
        <v>234</v>
      </c>
      <c r="C18" s="86" t="s">
        <v>139</v>
      </c>
      <c r="D18" s="86" t="s">
        <v>220</v>
      </c>
      <c r="E18" s="86" t="s">
        <v>133</v>
      </c>
      <c r="F18" s="86" t="s">
        <v>123</v>
      </c>
      <c r="G18" s="86">
        <v>20</v>
      </c>
      <c r="H18" s="86">
        <v>979</v>
      </c>
      <c r="I18" s="86">
        <v>1471</v>
      </c>
      <c r="J18" s="87">
        <v>19580</v>
      </c>
      <c r="K18" s="87">
        <v>29420</v>
      </c>
      <c r="L18" s="87">
        <v>9840</v>
      </c>
      <c r="M18" s="87" t="s">
        <v>116</v>
      </c>
    </row>
    <row r="19" spans="1:13" ht="15.6" thickTop="1" thickBot="1" x14ac:dyDescent="0.35">
      <c r="A19" s="85">
        <v>45543</v>
      </c>
      <c r="B19" s="86" t="s">
        <v>160</v>
      </c>
      <c r="C19" s="86" t="s">
        <v>109</v>
      </c>
      <c r="D19" s="86" t="s">
        <v>131</v>
      </c>
      <c r="E19" s="86" t="s">
        <v>161</v>
      </c>
      <c r="F19" s="86" t="s">
        <v>123</v>
      </c>
      <c r="G19" s="86">
        <v>18</v>
      </c>
      <c r="H19" s="86">
        <v>859</v>
      </c>
      <c r="I19" s="86">
        <v>1044</v>
      </c>
      <c r="J19" s="87">
        <v>15462</v>
      </c>
      <c r="K19" s="87">
        <v>18792</v>
      </c>
      <c r="L19" s="87">
        <v>3330</v>
      </c>
      <c r="M19" s="87" t="s">
        <v>116</v>
      </c>
    </row>
    <row r="20" spans="1:13" ht="15.6" thickTop="1" thickBot="1" x14ac:dyDescent="0.35">
      <c r="A20" s="85">
        <v>45543</v>
      </c>
      <c r="B20" s="86" t="s">
        <v>160</v>
      </c>
      <c r="C20" s="86" t="s">
        <v>109</v>
      </c>
      <c r="D20" s="86" t="s">
        <v>131</v>
      </c>
      <c r="E20" s="86" t="s">
        <v>161</v>
      </c>
      <c r="F20" s="86" t="s">
        <v>123</v>
      </c>
      <c r="G20" s="86">
        <v>12</v>
      </c>
      <c r="H20" s="86">
        <v>561</v>
      </c>
      <c r="I20" s="86">
        <v>1162</v>
      </c>
      <c r="J20" s="87">
        <v>6732</v>
      </c>
      <c r="K20" s="87">
        <v>13944</v>
      </c>
      <c r="L20" s="87">
        <v>7212</v>
      </c>
      <c r="M20" s="87" t="s">
        <v>116</v>
      </c>
    </row>
    <row r="21" spans="1:13" ht="15.6" thickTop="1" thickBot="1" x14ac:dyDescent="0.35">
      <c r="A21" s="85">
        <v>45543</v>
      </c>
      <c r="B21" s="86" t="s">
        <v>160</v>
      </c>
      <c r="C21" s="86" t="s">
        <v>109</v>
      </c>
      <c r="D21" s="86" t="s">
        <v>131</v>
      </c>
      <c r="E21" s="86" t="s">
        <v>161</v>
      </c>
      <c r="F21" s="86" t="s">
        <v>123</v>
      </c>
      <c r="G21" s="86">
        <v>11</v>
      </c>
      <c r="H21" s="86">
        <v>960</v>
      </c>
      <c r="I21" s="86">
        <v>939</v>
      </c>
      <c r="J21" s="87">
        <v>10560</v>
      </c>
      <c r="K21" s="87">
        <v>10329</v>
      </c>
      <c r="L21" s="87">
        <v>-231</v>
      </c>
      <c r="M21" s="87" t="s">
        <v>113</v>
      </c>
    </row>
    <row r="22" spans="1:13" ht="15.6" thickTop="1" thickBot="1" x14ac:dyDescent="0.35">
      <c r="A22" s="85">
        <v>45613</v>
      </c>
      <c r="B22" s="86" t="s">
        <v>302</v>
      </c>
      <c r="C22" s="86" t="s">
        <v>139</v>
      </c>
      <c r="D22" s="86" t="s">
        <v>154</v>
      </c>
      <c r="E22" s="86" t="s">
        <v>151</v>
      </c>
      <c r="F22" s="86" t="s">
        <v>123</v>
      </c>
      <c r="G22" s="86">
        <v>24</v>
      </c>
      <c r="H22" s="86">
        <v>672</v>
      </c>
      <c r="I22" s="86">
        <v>878</v>
      </c>
      <c r="J22" s="87">
        <v>16128</v>
      </c>
      <c r="K22" s="87">
        <v>21072</v>
      </c>
      <c r="L22" s="87">
        <v>4944</v>
      </c>
      <c r="M22" s="87" t="s">
        <v>116</v>
      </c>
    </row>
    <row r="23" spans="1:13" ht="15.6" thickTop="1" thickBot="1" x14ac:dyDescent="0.35">
      <c r="A23" s="85">
        <v>45613</v>
      </c>
      <c r="B23" s="86" t="s">
        <v>302</v>
      </c>
      <c r="C23" s="86" t="s">
        <v>139</v>
      </c>
      <c r="D23" s="86" t="s">
        <v>154</v>
      </c>
      <c r="E23" s="86" t="s">
        <v>151</v>
      </c>
      <c r="F23" s="86" t="s">
        <v>123</v>
      </c>
      <c r="G23" s="86">
        <v>22</v>
      </c>
      <c r="H23" s="86">
        <v>783</v>
      </c>
      <c r="I23" s="86">
        <v>886</v>
      </c>
      <c r="J23" s="87">
        <v>17226</v>
      </c>
      <c r="K23" s="87">
        <v>19492</v>
      </c>
      <c r="L23" s="87">
        <v>2266</v>
      </c>
      <c r="M23" s="87" t="s">
        <v>116</v>
      </c>
    </row>
    <row r="24" spans="1:13" ht="15.6" thickTop="1" thickBot="1" x14ac:dyDescent="0.35">
      <c r="A24" s="85">
        <v>45613</v>
      </c>
      <c r="B24" s="86" t="s">
        <v>302</v>
      </c>
      <c r="C24" s="86" t="s">
        <v>139</v>
      </c>
      <c r="D24" s="86" t="s">
        <v>154</v>
      </c>
      <c r="E24" s="86" t="s">
        <v>151</v>
      </c>
      <c r="F24" s="86" t="s">
        <v>123</v>
      </c>
      <c r="G24" s="86">
        <v>29</v>
      </c>
      <c r="H24" s="86">
        <v>852</v>
      </c>
      <c r="I24" s="86">
        <v>1452</v>
      </c>
      <c r="J24" s="87">
        <v>24708</v>
      </c>
      <c r="K24" s="87">
        <v>42108</v>
      </c>
      <c r="L24" s="87">
        <v>17400</v>
      </c>
      <c r="M24" s="87" t="s">
        <v>116</v>
      </c>
    </row>
    <row r="25" spans="1:13" ht="15.6" thickTop="1" thickBot="1" x14ac:dyDescent="0.35">
      <c r="A25" s="85">
        <v>45477</v>
      </c>
      <c r="B25" s="86" t="s">
        <v>136</v>
      </c>
      <c r="C25" s="86" t="s">
        <v>109</v>
      </c>
      <c r="D25" s="86" t="s">
        <v>131</v>
      </c>
      <c r="E25" s="91" t="s">
        <v>137</v>
      </c>
      <c r="F25" s="86" t="s">
        <v>112</v>
      </c>
      <c r="G25" s="86">
        <v>12</v>
      </c>
      <c r="H25" s="86">
        <v>734</v>
      </c>
      <c r="I25" s="86">
        <v>1181</v>
      </c>
      <c r="J25" s="79">
        <v>8808</v>
      </c>
      <c r="K25" s="87">
        <v>14172</v>
      </c>
      <c r="L25" s="87">
        <v>5364</v>
      </c>
      <c r="M25" s="87" t="s">
        <v>116</v>
      </c>
    </row>
    <row r="26" spans="1:13" ht="15.6" thickTop="1" thickBot="1" x14ac:dyDescent="0.35">
      <c r="A26" s="85">
        <v>45477</v>
      </c>
      <c r="B26" s="86" t="s">
        <v>136</v>
      </c>
      <c r="C26" s="86" t="s">
        <v>109</v>
      </c>
      <c r="D26" s="86" t="s">
        <v>131</v>
      </c>
      <c r="E26" s="86" t="s">
        <v>137</v>
      </c>
      <c r="F26" s="86" t="s">
        <v>112</v>
      </c>
      <c r="G26" s="86">
        <v>15</v>
      </c>
      <c r="H26" s="86">
        <v>937</v>
      </c>
      <c r="I26" s="86">
        <v>1427</v>
      </c>
      <c r="J26" s="87">
        <v>14055</v>
      </c>
      <c r="K26" s="87">
        <v>21405</v>
      </c>
      <c r="L26" s="87">
        <v>7350</v>
      </c>
      <c r="M26" s="87" t="s">
        <v>116</v>
      </c>
    </row>
    <row r="27" spans="1:13" ht="15.6" thickTop="1" thickBot="1" x14ac:dyDescent="0.35">
      <c r="A27" s="85">
        <v>45477</v>
      </c>
      <c r="B27" s="86" t="s">
        <v>136</v>
      </c>
      <c r="C27" s="86" t="s">
        <v>109</v>
      </c>
      <c r="D27" s="86" t="s">
        <v>131</v>
      </c>
      <c r="E27" s="86" t="s">
        <v>137</v>
      </c>
      <c r="F27" s="86" t="s">
        <v>112</v>
      </c>
      <c r="G27" s="86">
        <v>14</v>
      </c>
      <c r="H27" s="86">
        <v>965</v>
      </c>
      <c r="I27" s="86">
        <v>1212</v>
      </c>
      <c r="J27" s="87">
        <v>13510</v>
      </c>
      <c r="K27" s="87">
        <v>16968</v>
      </c>
      <c r="L27" s="87">
        <v>3458</v>
      </c>
      <c r="M27" s="87" t="s">
        <v>116</v>
      </c>
    </row>
    <row r="28" spans="1:13" ht="15.6" thickTop="1" thickBot="1" x14ac:dyDescent="0.35">
      <c r="A28" s="85">
        <v>45389</v>
      </c>
      <c r="B28" s="86" t="s">
        <v>126</v>
      </c>
      <c r="C28" s="91" t="s">
        <v>127</v>
      </c>
      <c r="D28" s="86" t="s">
        <v>128</v>
      </c>
      <c r="E28" s="86" t="s">
        <v>129</v>
      </c>
      <c r="F28" s="91" t="s">
        <v>123</v>
      </c>
      <c r="G28" s="86">
        <v>55</v>
      </c>
      <c r="H28" s="86">
        <v>637</v>
      </c>
      <c r="I28" s="86">
        <v>1143</v>
      </c>
      <c r="J28" s="87">
        <v>35035</v>
      </c>
      <c r="K28" s="87">
        <v>62865</v>
      </c>
      <c r="L28" s="87">
        <v>27830</v>
      </c>
      <c r="M28" s="87" t="s">
        <v>116</v>
      </c>
    </row>
    <row r="29" spans="1:13" ht="15.6" thickTop="1" thickBot="1" x14ac:dyDescent="0.35">
      <c r="A29" s="85">
        <v>45389</v>
      </c>
      <c r="B29" s="86" t="s">
        <v>126</v>
      </c>
      <c r="C29" s="86" t="s">
        <v>127</v>
      </c>
      <c r="D29" s="86" t="s">
        <v>128</v>
      </c>
      <c r="E29" s="86" t="s">
        <v>129</v>
      </c>
      <c r="F29" s="86" t="s">
        <v>123</v>
      </c>
      <c r="G29" s="86">
        <v>55</v>
      </c>
      <c r="H29" s="86">
        <v>906</v>
      </c>
      <c r="I29" s="86">
        <v>880</v>
      </c>
      <c r="J29" s="87">
        <v>49830</v>
      </c>
      <c r="K29" s="87">
        <v>48400</v>
      </c>
      <c r="L29" s="87">
        <v>-1430</v>
      </c>
      <c r="M29" s="87" t="s">
        <v>113</v>
      </c>
    </row>
    <row r="30" spans="1:13" ht="15.6" thickTop="1" thickBot="1" x14ac:dyDescent="0.35">
      <c r="A30" s="85">
        <v>45417</v>
      </c>
      <c r="B30" s="86" t="s">
        <v>246</v>
      </c>
      <c r="C30" s="86" t="s">
        <v>139</v>
      </c>
      <c r="D30" s="86" t="s">
        <v>154</v>
      </c>
      <c r="E30" s="86" t="s">
        <v>120</v>
      </c>
      <c r="F30" s="86" t="s">
        <v>123</v>
      </c>
      <c r="G30" s="86">
        <v>23</v>
      </c>
      <c r="H30" s="86">
        <v>768</v>
      </c>
      <c r="I30" s="86">
        <v>1102</v>
      </c>
      <c r="J30" s="87">
        <v>17664</v>
      </c>
      <c r="K30" s="87">
        <v>25346</v>
      </c>
      <c r="L30" s="87">
        <v>7682</v>
      </c>
      <c r="M30" s="87" t="s">
        <v>116</v>
      </c>
    </row>
    <row r="31" spans="1:13" ht="15.6" thickTop="1" thickBot="1" x14ac:dyDescent="0.35">
      <c r="A31" s="85">
        <v>45417</v>
      </c>
      <c r="B31" s="86" t="s">
        <v>246</v>
      </c>
      <c r="C31" s="86" t="s">
        <v>139</v>
      </c>
      <c r="D31" s="86" t="s">
        <v>154</v>
      </c>
      <c r="E31" s="86" t="s">
        <v>120</v>
      </c>
      <c r="F31" s="86" t="s">
        <v>123</v>
      </c>
      <c r="G31" s="86">
        <v>26</v>
      </c>
      <c r="H31" s="86">
        <v>985</v>
      </c>
      <c r="I31" s="86">
        <v>1407</v>
      </c>
      <c r="J31" s="87">
        <v>25610</v>
      </c>
      <c r="K31" s="87">
        <v>36582</v>
      </c>
      <c r="L31" s="87">
        <v>10972</v>
      </c>
      <c r="M31" s="87" t="s">
        <v>116</v>
      </c>
    </row>
    <row r="32" spans="1:13" ht="15.6" thickTop="1" thickBot="1" x14ac:dyDescent="0.35">
      <c r="A32" s="85">
        <v>45417</v>
      </c>
      <c r="B32" s="86" t="s">
        <v>246</v>
      </c>
      <c r="C32" s="86" t="s">
        <v>139</v>
      </c>
      <c r="D32" s="86" t="s">
        <v>154</v>
      </c>
      <c r="E32" s="86" t="s">
        <v>120</v>
      </c>
      <c r="F32" s="86" t="s">
        <v>123</v>
      </c>
      <c r="G32" s="86">
        <v>23</v>
      </c>
      <c r="H32" s="86">
        <v>846</v>
      </c>
      <c r="I32" s="86">
        <v>1143</v>
      </c>
      <c r="J32" s="87">
        <v>19458</v>
      </c>
      <c r="K32" s="87">
        <v>26289</v>
      </c>
      <c r="L32" s="87">
        <v>6831</v>
      </c>
      <c r="M32" s="87" t="s">
        <v>116</v>
      </c>
    </row>
    <row r="33" spans="1:13" ht="15.6" thickTop="1" thickBot="1" x14ac:dyDescent="0.35">
      <c r="A33" s="85">
        <v>45494</v>
      </c>
      <c r="B33" s="86" t="s">
        <v>277</v>
      </c>
      <c r="C33" s="86" t="s">
        <v>139</v>
      </c>
      <c r="D33" s="86" t="s">
        <v>205</v>
      </c>
      <c r="E33" s="86" t="s">
        <v>111</v>
      </c>
      <c r="F33" s="86" t="s">
        <v>112</v>
      </c>
      <c r="G33" s="86">
        <v>21</v>
      </c>
      <c r="H33" s="86">
        <v>626</v>
      </c>
      <c r="I33" s="86">
        <v>772</v>
      </c>
      <c r="J33" s="87">
        <v>13146</v>
      </c>
      <c r="K33" s="87">
        <v>16212</v>
      </c>
      <c r="L33" s="87">
        <v>3066</v>
      </c>
      <c r="M33" s="87" t="s">
        <v>116</v>
      </c>
    </row>
    <row r="34" spans="1:13" ht="15.6" thickTop="1" thickBot="1" x14ac:dyDescent="0.35">
      <c r="A34" s="85">
        <v>45494</v>
      </c>
      <c r="B34" s="86" t="s">
        <v>277</v>
      </c>
      <c r="C34" s="86" t="s">
        <v>139</v>
      </c>
      <c r="D34" s="86" t="s">
        <v>205</v>
      </c>
      <c r="E34" s="86" t="s">
        <v>111</v>
      </c>
      <c r="F34" s="86" t="s">
        <v>112</v>
      </c>
      <c r="G34" s="86">
        <v>23</v>
      </c>
      <c r="H34" s="86">
        <v>730</v>
      </c>
      <c r="I34" s="86">
        <v>1189</v>
      </c>
      <c r="J34" s="87">
        <v>16790</v>
      </c>
      <c r="K34" s="87">
        <v>27347</v>
      </c>
      <c r="L34" s="87">
        <v>10557</v>
      </c>
      <c r="M34" s="87" t="s">
        <v>116</v>
      </c>
    </row>
    <row r="35" spans="1:13" ht="15.6" thickTop="1" thickBot="1" x14ac:dyDescent="0.35">
      <c r="A35" s="85">
        <v>45494</v>
      </c>
      <c r="B35" s="86" t="s">
        <v>277</v>
      </c>
      <c r="C35" s="86" t="s">
        <v>139</v>
      </c>
      <c r="D35" s="86" t="s">
        <v>205</v>
      </c>
      <c r="E35" s="86" t="s">
        <v>111</v>
      </c>
      <c r="F35" s="86" t="s">
        <v>112</v>
      </c>
      <c r="G35" s="86">
        <v>25</v>
      </c>
      <c r="H35" s="86">
        <v>536</v>
      </c>
      <c r="I35" s="86">
        <v>1407</v>
      </c>
      <c r="J35" s="87">
        <v>13400</v>
      </c>
      <c r="K35" s="87">
        <v>35175</v>
      </c>
      <c r="L35" s="87">
        <v>21775</v>
      </c>
      <c r="M35" s="87" t="s">
        <v>116</v>
      </c>
    </row>
    <row r="36" spans="1:13" ht="15.6" thickTop="1" thickBot="1" x14ac:dyDescent="0.35">
      <c r="A36" s="85">
        <v>45625</v>
      </c>
      <c r="B36" s="86" t="s">
        <v>315</v>
      </c>
      <c r="C36" s="86" t="s">
        <v>139</v>
      </c>
      <c r="D36" s="86" t="s">
        <v>205</v>
      </c>
      <c r="E36" s="86" t="s">
        <v>133</v>
      </c>
      <c r="F36" s="86" t="s">
        <v>112</v>
      </c>
      <c r="G36" s="86">
        <v>26</v>
      </c>
      <c r="H36" s="86">
        <v>520</v>
      </c>
      <c r="I36" s="86">
        <v>1261</v>
      </c>
      <c r="J36" s="87">
        <v>13520</v>
      </c>
      <c r="K36" s="87">
        <v>32786</v>
      </c>
      <c r="L36" s="87">
        <v>19266</v>
      </c>
      <c r="M36" s="87" t="s">
        <v>116</v>
      </c>
    </row>
    <row r="37" spans="1:13" ht="15.6" thickTop="1" thickBot="1" x14ac:dyDescent="0.35">
      <c r="A37" s="85">
        <v>45625</v>
      </c>
      <c r="B37" s="86" t="s">
        <v>315</v>
      </c>
      <c r="C37" s="86" t="s">
        <v>139</v>
      </c>
      <c r="D37" s="86" t="s">
        <v>205</v>
      </c>
      <c r="E37" s="86" t="s">
        <v>133</v>
      </c>
      <c r="F37" s="86" t="s">
        <v>112</v>
      </c>
      <c r="G37" s="86">
        <v>29</v>
      </c>
      <c r="H37" s="86">
        <v>621</v>
      </c>
      <c r="I37" s="86">
        <v>1485</v>
      </c>
      <c r="J37" s="87">
        <v>18009</v>
      </c>
      <c r="K37" s="87">
        <v>43065</v>
      </c>
      <c r="L37" s="87">
        <v>25056</v>
      </c>
      <c r="M37" s="87" t="s">
        <v>116</v>
      </c>
    </row>
    <row r="38" spans="1:13" ht="15.6" thickTop="1" thickBot="1" x14ac:dyDescent="0.35">
      <c r="A38" s="85">
        <v>45625</v>
      </c>
      <c r="B38" s="86" t="s">
        <v>315</v>
      </c>
      <c r="C38" s="86" t="s">
        <v>139</v>
      </c>
      <c r="D38" s="86" t="s">
        <v>205</v>
      </c>
      <c r="E38" s="86" t="s">
        <v>133</v>
      </c>
      <c r="F38" s="86" t="s">
        <v>112</v>
      </c>
      <c r="G38" s="86">
        <v>27</v>
      </c>
      <c r="H38" s="86">
        <v>573</v>
      </c>
      <c r="I38" s="86">
        <v>1266</v>
      </c>
      <c r="J38" s="87">
        <v>15471</v>
      </c>
      <c r="K38" s="87">
        <v>34182</v>
      </c>
      <c r="L38" s="87">
        <v>18711</v>
      </c>
      <c r="M38" s="87" t="s">
        <v>116</v>
      </c>
    </row>
    <row r="39" spans="1:13" ht="15.6" thickTop="1" thickBot="1" x14ac:dyDescent="0.35">
      <c r="A39" s="85">
        <v>45507</v>
      </c>
      <c r="B39" s="86" t="s">
        <v>206</v>
      </c>
      <c r="C39" s="86" t="s">
        <v>127</v>
      </c>
      <c r="D39" s="86" t="s">
        <v>207</v>
      </c>
      <c r="E39" s="86" t="s">
        <v>166</v>
      </c>
      <c r="F39" s="86" t="s">
        <v>123</v>
      </c>
      <c r="G39" s="86">
        <v>86</v>
      </c>
      <c r="H39" s="86">
        <v>540</v>
      </c>
      <c r="I39" s="86">
        <v>1460</v>
      </c>
      <c r="J39" s="87">
        <v>46440</v>
      </c>
      <c r="K39" s="87">
        <v>125560</v>
      </c>
      <c r="L39" s="87">
        <v>79120</v>
      </c>
      <c r="M39" s="87" t="s">
        <v>116</v>
      </c>
    </row>
    <row r="40" spans="1:13" ht="15.6" thickTop="1" thickBot="1" x14ac:dyDescent="0.35">
      <c r="A40" s="85">
        <v>45507</v>
      </c>
      <c r="B40" s="86" t="s">
        <v>206</v>
      </c>
      <c r="C40" s="86" t="s">
        <v>127</v>
      </c>
      <c r="D40" s="86" t="s">
        <v>207</v>
      </c>
      <c r="E40" s="86" t="s">
        <v>166</v>
      </c>
      <c r="F40" s="86" t="s">
        <v>123</v>
      </c>
      <c r="G40" s="86">
        <v>60</v>
      </c>
      <c r="H40" s="86">
        <v>642</v>
      </c>
      <c r="I40" s="86">
        <v>1497</v>
      </c>
      <c r="J40" s="87">
        <v>38520</v>
      </c>
      <c r="K40" s="87">
        <v>89820</v>
      </c>
      <c r="L40" s="87">
        <v>51300</v>
      </c>
      <c r="M40" s="87" t="s">
        <v>116</v>
      </c>
    </row>
    <row r="41" spans="1:13" ht="15.6" thickTop="1" thickBot="1" x14ac:dyDescent="0.35">
      <c r="A41" s="85">
        <v>45383</v>
      </c>
      <c r="B41" s="86" t="s">
        <v>218</v>
      </c>
      <c r="C41" s="86" t="s">
        <v>139</v>
      </c>
      <c r="D41" s="86" t="s">
        <v>140</v>
      </c>
      <c r="E41" s="86" t="s">
        <v>161</v>
      </c>
      <c r="F41" s="86" t="s">
        <v>123</v>
      </c>
      <c r="G41" s="86">
        <v>29</v>
      </c>
      <c r="H41" s="86">
        <v>924</v>
      </c>
      <c r="I41" s="86">
        <v>1101</v>
      </c>
      <c r="J41" s="87">
        <v>26796</v>
      </c>
      <c r="K41" s="87">
        <v>31929</v>
      </c>
      <c r="L41" s="87">
        <v>5133</v>
      </c>
      <c r="M41" s="87" t="s">
        <v>116</v>
      </c>
    </row>
    <row r="42" spans="1:13" ht="15.6" thickTop="1" thickBot="1" x14ac:dyDescent="0.35">
      <c r="A42" s="85">
        <v>45383</v>
      </c>
      <c r="B42" s="86" t="s">
        <v>218</v>
      </c>
      <c r="C42" s="86" t="s">
        <v>139</v>
      </c>
      <c r="D42" s="86" t="s">
        <v>140</v>
      </c>
      <c r="E42" s="86" t="s">
        <v>161</v>
      </c>
      <c r="F42" s="86" t="s">
        <v>123</v>
      </c>
      <c r="G42" s="86">
        <v>28</v>
      </c>
      <c r="H42" s="86">
        <v>826</v>
      </c>
      <c r="I42" s="86">
        <v>929</v>
      </c>
      <c r="J42" s="87">
        <v>23128</v>
      </c>
      <c r="K42" s="87">
        <v>26012</v>
      </c>
      <c r="L42" s="87">
        <v>2884</v>
      </c>
      <c r="M42" s="87" t="s">
        <v>116</v>
      </c>
    </row>
    <row r="43" spans="1:13" ht="15.6" thickTop="1" thickBot="1" x14ac:dyDescent="0.35">
      <c r="A43" s="85">
        <v>45383</v>
      </c>
      <c r="B43" s="86" t="s">
        <v>218</v>
      </c>
      <c r="C43" s="86" t="s">
        <v>139</v>
      </c>
      <c r="D43" s="86" t="s">
        <v>140</v>
      </c>
      <c r="E43" s="86" t="s">
        <v>161</v>
      </c>
      <c r="F43" s="86" t="s">
        <v>123</v>
      </c>
      <c r="G43" s="86">
        <v>21</v>
      </c>
      <c r="H43" s="86">
        <v>553</v>
      </c>
      <c r="I43" s="86">
        <v>1459</v>
      </c>
      <c r="J43" s="87">
        <v>11613</v>
      </c>
      <c r="K43" s="87">
        <v>30639</v>
      </c>
      <c r="L43" s="87">
        <v>19026</v>
      </c>
      <c r="M43" s="87" t="s">
        <v>116</v>
      </c>
    </row>
    <row r="44" spans="1:13" ht="15.6" thickTop="1" thickBot="1" x14ac:dyDescent="0.35">
      <c r="A44" s="85">
        <v>45474</v>
      </c>
      <c r="B44" s="86" t="s">
        <v>134</v>
      </c>
      <c r="C44" s="86" t="s">
        <v>109</v>
      </c>
      <c r="D44" s="86" t="s">
        <v>131</v>
      </c>
      <c r="E44" s="86" t="s">
        <v>133</v>
      </c>
      <c r="F44" s="86" t="s">
        <v>112</v>
      </c>
      <c r="G44" s="91">
        <v>13</v>
      </c>
      <c r="H44" s="86">
        <v>917</v>
      </c>
      <c r="I44" s="86">
        <v>1315</v>
      </c>
      <c r="J44" s="87">
        <v>11921</v>
      </c>
      <c r="K44" s="87">
        <v>17095</v>
      </c>
      <c r="L44" s="87">
        <v>5174</v>
      </c>
      <c r="M44" s="87" t="s">
        <v>116</v>
      </c>
    </row>
    <row r="45" spans="1:13" ht="15.6" thickTop="1" thickBot="1" x14ac:dyDescent="0.35">
      <c r="A45" s="85">
        <v>45474</v>
      </c>
      <c r="B45" s="86" t="s">
        <v>134</v>
      </c>
      <c r="C45" s="86" t="s">
        <v>109</v>
      </c>
      <c r="D45" s="86" t="s">
        <v>131</v>
      </c>
      <c r="E45" s="86" t="s">
        <v>133</v>
      </c>
      <c r="F45" s="86" t="s">
        <v>112</v>
      </c>
      <c r="G45" s="86">
        <v>10</v>
      </c>
      <c r="H45" s="86">
        <v>719</v>
      </c>
      <c r="I45" s="86">
        <v>862</v>
      </c>
      <c r="J45" s="87">
        <v>7190</v>
      </c>
      <c r="K45" s="87">
        <v>8620</v>
      </c>
      <c r="L45" s="87">
        <v>1430</v>
      </c>
      <c r="M45" s="87" t="s">
        <v>116</v>
      </c>
    </row>
    <row r="46" spans="1:13" ht="15.6" thickTop="1" thickBot="1" x14ac:dyDescent="0.35">
      <c r="A46" s="85">
        <v>45474</v>
      </c>
      <c r="B46" s="86" t="s">
        <v>134</v>
      </c>
      <c r="C46" s="86" t="s">
        <v>109</v>
      </c>
      <c r="D46" s="86" t="s">
        <v>131</v>
      </c>
      <c r="E46" s="86" t="s">
        <v>133</v>
      </c>
      <c r="F46" s="86" t="s">
        <v>112</v>
      </c>
      <c r="G46" s="86">
        <v>19</v>
      </c>
      <c r="H46" s="86">
        <v>816</v>
      </c>
      <c r="I46" s="86">
        <v>1285</v>
      </c>
      <c r="J46" s="87">
        <v>15504</v>
      </c>
      <c r="K46" s="87">
        <v>24415</v>
      </c>
      <c r="L46" s="87">
        <v>8911</v>
      </c>
      <c r="M46" s="87" t="s">
        <v>116</v>
      </c>
    </row>
    <row r="47" spans="1:13" ht="15.6" thickTop="1" thickBot="1" x14ac:dyDescent="0.35">
      <c r="A47" s="85">
        <v>45527</v>
      </c>
      <c r="B47" s="86" t="s">
        <v>286</v>
      </c>
      <c r="C47" s="86" t="s">
        <v>139</v>
      </c>
      <c r="D47" s="86" t="s">
        <v>205</v>
      </c>
      <c r="E47" s="86" t="s">
        <v>151</v>
      </c>
      <c r="F47" s="86" t="s">
        <v>112</v>
      </c>
      <c r="G47" s="86">
        <v>22</v>
      </c>
      <c r="H47" s="86">
        <v>774</v>
      </c>
      <c r="I47" s="86">
        <v>1387</v>
      </c>
      <c r="J47" s="87">
        <v>17028</v>
      </c>
      <c r="K47" s="87">
        <v>30514</v>
      </c>
      <c r="L47" s="87">
        <v>13486</v>
      </c>
      <c r="M47" s="87" t="s">
        <v>116</v>
      </c>
    </row>
    <row r="48" spans="1:13" ht="15.6" thickTop="1" thickBot="1" x14ac:dyDescent="0.35">
      <c r="A48" s="85">
        <v>45527</v>
      </c>
      <c r="B48" s="86" t="s">
        <v>286</v>
      </c>
      <c r="C48" s="86" t="s">
        <v>139</v>
      </c>
      <c r="D48" s="86" t="s">
        <v>205</v>
      </c>
      <c r="E48" s="86" t="s">
        <v>151</v>
      </c>
      <c r="F48" s="86" t="s">
        <v>112</v>
      </c>
      <c r="G48" s="86">
        <v>23</v>
      </c>
      <c r="H48" s="86">
        <v>577</v>
      </c>
      <c r="I48" s="86">
        <v>1125</v>
      </c>
      <c r="J48" s="87">
        <v>13271</v>
      </c>
      <c r="K48" s="87">
        <v>25875</v>
      </c>
      <c r="L48" s="87">
        <v>12604</v>
      </c>
      <c r="M48" s="87" t="s">
        <v>116</v>
      </c>
    </row>
    <row r="49" spans="1:13" ht="15.6" thickTop="1" thickBot="1" x14ac:dyDescent="0.35">
      <c r="A49" s="85">
        <v>45527</v>
      </c>
      <c r="B49" s="86" t="s">
        <v>286</v>
      </c>
      <c r="C49" s="86" t="s">
        <v>139</v>
      </c>
      <c r="D49" s="86" t="s">
        <v>205</v>
      </c>
      <c r="E49" s="86" t="s">
        <v>151</v>
      </c>
      <c r="F49" s="86" t="s">
        <v>112</v>
      </c>
      <c r="G49" s="86">
        <v>28</v>
      </c>
      <c r="H49" s="86">
        <v>873</v>
      </c>
      <c r="I49" s="86">
        <v>809</v>
      </c>
      <c r="J49" s="87">
        <v>24444</v>
      </c>
      <c r="K49" s="87">
        <v>22652</v>
      </c>
      <c r="L49" s="87">
        <v>-1792</v>
      </c>
      <c r="M49" s="87" t="s">
        <v>113</v>
      </c>
    </row>
    <row r="50" spans="1:13" ht="15.6" thickTop="1" thickBot="1" x14ac:dyDescent="0.35">
      <c r="A50" s="85">
        <v>45428</v>
      </c>
      <c r="B50" s="86" t="s">
        <v>262</v>
      </c>
      <c r="C50" s="86" t="s">
        <v>139</v>
      </c>
      <c r="D50" s="86" t="s">
        <v>205</v>
      </c>
      <c r="E50" s="86" t="s">
        <v>168</v>
      </c>
      <c r="F50" s="86" t="s">
        <v>123</v>
      </c>
      <c r="G50" s="86">
        <v>30</v>
      </c>
      <c r="H50" s="86">
        <v>987</v>
      </c>
      <c r="I50" s="86">
        <v>1366</v>
      </c>
      <c r="J50" s="87">
        <v>29610</v>
      </c>
      <c r="K50" s="87">
        <v>40980</v>
      </c>
      <c r="L50" s="87">
        <v>11370</v>
      </c>
      <c r="M50" s="87" t="s">
        <v>116</v>
      </c>
    </row>
    <row r="51" spans="1:13" ht="15.6" thickTop="1" thickBot="1" x14ac:dyDescent="0.35">
      <c r="A51" s="85">
        <v>45428</v>
      </c>
      <c r="B51" s="86" t="s">
        <v>262</v>
      </c>
      <c r="C51" s="86" t="s">
        <v>139</v>
      </c>
      <c r="D51" s="86" t="s">
        <v>205</v>
      </c>
      <c r="E51" s="86" t="s">
        <v>168</v>
      </c>
      <c r="F51" s="86" t="s">
        <v>123</v>
      </c>
      <c r="G51" s="86">
        <v>26</v>
      </c>
      <c r="H51" s="86">
        <v>1000</v>
      </c>
      <c r="I51" s="86">
        <v>765</v>
      </c>
      <c r="J51" s="87">
        <v>26000</v>
      </c>
      <c r="K51" s="87">
        <v>19890</v>
      </c>
      <c r="L51" s="87">
        <v>-6110</v>
      </c>
      <c r="M51" s="87" t="s">
        <v>113</v>
      </c>
    </row>
    <row r="52" spans="1:13" ht="15.6" thickTop="1" thickBot="1" x14ac:dyDescent="0.35">
      <c r="A52" s="85">
        <v>45428</v>
      </c>
      <c r="B52" s="86" t="s">
        <v>262</v>
      </c>
      <c r="C52" s="86" t="s">
        <v>139</v>
      </c>
      <c r="D52" s="86" t="s">
        <v>205</v>
      </c>
      <c r="E52" s="86" t="s">
        <v>168</v>
      </c>
      <c r="F52" s="86" t="s">
        <v>123</v>
      </c>
      <c r="G52" s="86">
        <v>30</v>
      </c>
      <c r="H52" s="86">
        <v>616</v>
      </c>
      <c r="I52" s="86">
        <v>804</v>
      </c>
      <c r="J52" s="87">
        <v>18480</v>
      </c>
      <c r="K52" s="87">
        <v>24120</v>
      </c>
      <c r="L52" s="87">
        <v>5640</v>
      </c>
      <c r="M52" s="87" t="s">
        <v>116</v>
      </c>
    </row>
    <row r="53" spans="1:13" ht="15.6" thickTop="1" thickBot="1" x14ac:dyDescent="0.35">
      <c r="A53" s="85">
        <v>45479</v>
      </c>
      <c r="B53" s="86" t="s">
        <v>143</v>
      </c>
      <c r="C53" s="86" t="s">
        <v>109</v>
      </c>
      <c r="D53" s="86" t="s">
        <v>131</v>
      </c>
      <c r="E53" s="86" t="s">
        <v>122</v>
      </c>
      <c r="F53" s="86" t="s">
        <v>123</v>
      </c>
      <c r="G53" s="86">
        <v>20</v>
      </c>
      <c r="H53" s="86">
        <v>833</v>
      </c>
      <c r="I53" s="86">
        <v>877</v>
      </c>
      <c r="J53" s="87">
        <v>16660</v>
      </c>
      <c r="K53" s="87">
        <v>17540</v>
      </c>
      <c r="L53" s="87">
        <v>880</v>
      </c>
      <c r="M53" s="87" t="s">
        <v>116</v>
      </c>
    </row>
    <row r="54" spans="1:13" ht="15.6" thickTop="1" thickBot="1" x14ac:dyDescent="0.35">
      <c r="A54" s="85">
        <v>45479</v>
      </c>
      <c r="B54" s="86" t="s">
        <v>143</v>
      </c>
      <c r="C54" s="86" t="s">
        <v>109</v>
      </c>
      <c r="D54" s="86" t="s">
        <v>131</v>
      </c>
      <c r="E54" s="86" t="s">
        <v>122</v>
      </c>
      <c r="F54" s="86" t="s">
        <v>123</v>
      </c>
      <c r="G54" s="86">
        <v>20</v>
      </c>
      <c r="H54" s="86">
        <v>596</v>
      </c>
      <c r="I54" s="86">
        <v>1255</v>
      </c>
      <c r="J54" s="87">
        <v>11920</v>
      </c>
      <c r="K54" s="87">
        <v>25100</v>
      </c>
      <c r="L54" s="87">
        <v>13180</v>
      </c>
      <c r="M54" s="87" t="s">
        <v>116</v>
      </c>
    </row>
    <row r="55" spans="1:13" ht="15.6" thickTop="1" thickBot="1" x14ac:dyDescent="0.35">
      <c r="A55" s="85">
        <v>45479</v>
      </c>
      <c r="B55" s="86" t="s">
        <v>143</v>
      </c>
      <c r="C55" s="86" t="s">
        <v>109</v>
      </c>
      <c r="D55" s="86" t="s">
        <v>131</v>
      </c>
      <c r="E55" s="86" t="s">
        <v>122</v>
      </c>
      <c r="F55" s="86" t="s">
        <v>123</v>
      </c>
      <c r="G55" s="86">
        <v>16</v>
      </c>
      <c r="H55" s="86">
        <v>734</v>
      </c>
      <c r="I55" s="86">
        <v>1330</v>
      </c>
      <c r="J55" s="87">
        <v>11744</v>
      </c>
      <c r="K55" s="87">
        <v>21280</v>
      </c>
      <c r="L55" s="87">
        <v>9536</v>
      </c>
      <c r="M55" s="87" t="s">
        <v>116</v>
      </c>
    </row>
    <row r="56" spans="1:13" ht="15.6" thickTop="1" thickBot="1" x14ac:dyDescent="0.35">
      <c r="A56" s="85">
        <v>45589</v>
      </c>
      <c r="B56" s="86" t="s">
        <v>288</v>
      </c>
      <c r="C56" s="86" t="s">
        <v>139</v>
      </c>
      <c r="D56" s="86" t="s">
        <v>220</v>
      </c>
      <c r="E56" s="86" t="s">
        <v>151</v>
      </c>
      <c r="F56" s="86" t="s">
        <v>112</v>
      </c>
      <c r="G56" s="86">
        <v>20</v>
      </c>
      <c r="H56" s="86">
        <v>999</v>
      </c>
      <c r="I56" s="86">
        <v>1191</v>
      </c>
      <c r="J56" s="87">
        <v>19980</v>
      </c>
      <c r="K56" s="87">
        <v>23820</v>
      </c>
      <c r="L56" s="87">
        <v>3840</v>
      </c>
      <c r="M56" s="87" t="s">
        <v>116</v>
      </c>
    </row>
    <row r="57" spans="1:13" ht="15.6" thickTop="1" thickBot="1" x14ac:dyDescent="0.35">
      <c r="A57" s="85">
        <v>45589</v>
      </c>
      <c r="B57" s="86" t="s">
        <v>288</v>
      </c>
      <c r="C57" s="86" t="s">
        <v>139</v>
      </c>
      <c r="D57" s="86" t="s">
        <v>220</v>
      </c>
      <c r="E57" s="86" t="s">
        <v>151</v>
      </c>
      <c r="F57" s="86" t="s">
        <v>112</v>
      </c>
      <c r="G57" s="86">
        <v>28</v>
      </c>
      <c r="H57" s="86">
        <v>537</v>
      </c>
      <c r="I57" s="86">
        <v>828</v>
      </c>
      <c r="J57" s="87">
        <v>15036</v>
      </c>
      <c r="K57" s="87">
        <v>23184</v>
      </c>
      <c r="L57" s="87">
        <v>8148</v>
      </c>
      <c r="M57" s="87" t="s">
        <v>116</v>
      </c>
    </row>
    <row r="58" spans="1:13" ht="15.6" thickTop="1" thickBot="1" x14ac:dyDescent="0.35">
      <c r="A58" s="85">
        <v>45589</v>
      </c>
      <c r="B58" s="86" t="s">
        <v>288</v>
      </c>
      <c r="C58" s="86" t="s">
        <v>139</v>
      </c>
      <c r="D58" s="86" t="s">
        <v>220</v>
      </c>
      <c r="E58" s="86" t="s">
        <v>151</v>
      </c>
      <c r="F58" s="86" t="s">
        <v>112</v>
      </c>
      <c r="G58" s="86">
        <v>21</v>
      </c>
      <c r="H58" s="86">
        <v>541</v>
      </c>
      <c r="I58" s="86">
        <v>1339</v>
      </c>
      <c r="J58" s="87">
        <v>11361</v>
      </c>
      <c r="K58" s="87">
        <v>28119</v>
      </c>
      <c r="L58" s="87">
        <v>16758</v>
      </c>
      <c r="M58" s="87" t="s">
        <v>116</v>
      </c>
    </row>
    <row r="59" spans="1:13" ht="15.6" thickTop="1" thickBot="1" x14ac:dyDescent="0.35">
      <c r="A59" s="85">
        <v>45617</v>
      </c>
      <c r="B59" s="86" t="s">
        <v>304</v>
      </c>
      <c r="C59" s="86" t="s">
        <v>139</v>
      </c>
      <c r="D59" s="86" t="s">
        <v>154</v>
      </c>
      <c r="E59" s="86" t="s">
        <v>137</v>
      </c>
      <c r="F59" s="86" t="s">
        <v>123</v>
      </c>
      <c r="G59" s="86">
        <v>28</v>
      </c>
      <c r="H59" s="86">
        <v>884</v>
      </c>
      <c r="I59" s="86">
        <v>1165</v>
      </c>
      <c r="J59" s="87">
        <v>24752</v>
      </c>
      <c r="K59" s="87">
        <v>32620</v>
      </c>
      <c r="L59" s="87">
        <v>7868</v>
      </c>
      <c r="M59" s="87" t="s">
        <v>116</v>
      </c>
    </row>
    <row r="60" spans="1:13" ht="15.6" thickTop="1" thickBot="1" x14ac:dyDescent="0.35">
      <c r="A60" s="85">
        <v>45617</v>
      </c>
      <c r="B60" s="86" t="s">
        <v>304</v>
      </c>
      <c r="C60" s="86" t="s">
        <v>139</v>
      </c>
      <c r="D60" s="86" t="s">
        <v>154</v>
      </c>
      <c r="E60" s="86" t="s">
        <v>137</v>
      </c>
      <c r="F60" s="86" t="s">
        <v>123</v>
      </c>
      <c r="G60" s="86">
        <v>20</v>
      </c>
      <c r="H60" s="86">
        <v>737</v>
      </c>
      <c r="I60" s="86">
        <v>932</v>
      </c>
      <c r="J60" s="87">
        <v>14740</v>
      </c>
      <c r="K60" s="87">
        <v>18640</v>
      </c>
      <c r="L60" s="87">
        <v>3900</v>
      </c>
      <c r="M60" s="87" t="s">
        <v>116</v>
      </c>
    </row>
    <row r="61" spans="1:13" ht="15.6" thickTop="1" thickBot="1" x14ac:dyDescent="0.35">
      <c r="A61" s="85">
        <v>45617</v>
      </c>
      <c r="B61" s="86" t="s">
        <v>304</v>
      </c>
      <c r="C61" s="86" t="s">
        <v>139</v>
      </c>
      <c r="D61" s="86" t="s">
        <v>154</v>
      </c>
      <c r="E61" s="86" t="s">
        <v>137</v>
      </c>
      <c r="F61" s="86" t="s">
        <v>123</v>
      </c>
      <c r="G61" s="86">
        <v>26</v>
      </c>
      <c r="H61" s="86">
        <v>625</v>
      </c>
      <c r="I61" s="86">
        <v>1298</v>
      </c>
      <c r="J61" s="87">
        <v>16250</v>
      </c>
      <c r="K61" s="87">
        <v>33748</v>
      </c>
      <c r="L61" s="87">
        <v>17498</v>
      </c>
      <c r="M61" s="87" t="s">
        <v>116</v>
      </c>
    </row>
    <row r="62" spans="1:13" ht="15.6" thickTop="1" thickBot="1" x14ac:dyDescent="0.35">
      <c r="A62" s="85">
        <v>45516</v>
      </c>
      <c r="B62" s="86" t="s">
        <v>159</v>
      </c>
      <c r="C62" s="86" t="s">
        <v>109</v>
      </c>
      <c r="D62" s="86" t="s">
        <v>131</v>
      </c>
      <c r="E62" s="91" t="s">
        <v>122</v>
      </c>
      <c r="F62" s="86" t="s">
        <v>123</v>
      </c>
      <c r="G62" s="86">
        <v>20</v>
      </c>
      <c r="H62" s="86">
        <v>966</v>
      </c>
      <c r="I62" s="86">
        <v>924</v>
      </c>
      <c r="J62" s="87">
        <v>19320</v>
      </c>
      <c r="K62" s="87">
        <v>18480</v>
      </c>
      <c r="L62" s="87">
        <v>-840</v>
      </c>
      <c r="M62" s="87" t="s">
        <v>113</v>
      </c>
    </row>
    <row r="63" spans="1:13" ht="15.6" thickTop="1" thickBot="1" x14ac:dyDescent="0.35">
      <c r="A63" s="85">
        <v>45516</v>
      </c>
      <c r="B63" s="86" t="s">
        <v>159</v>
      </c>
      <c r="C63" s="86" t="s">
        <v>109</v>
      </c>
      <c r="D63" s="86" t="s">
        <v>131</v>
      </c>
      <c r="E63" s="86" t="s">
        <v>122</v>
      </c>
      <c r="F63" s="86" t="s">
        <v>123</v>
      </c>
      <c r="G63" s="86">
        <v>11</v>
      </c>
      <c r="H63" s="86">
        <v>827</v>
      </c>
      <c r="I63" s="86">
        <v>765</v>
      </c>
      <c r="J63" s="87">
        <v>9097</v>
      </c>
      <c r="K63" s="87">
        <v>8415</v>
      </c>
      <c r="L63" s="87">
        <v>-682</v>
      </c>
      <c r="M63" s="87" t="s">
        <v>113</v>
      </c>
    </row>
    <row r="64" spans="1:13" ht="15.6" thickTop="1" thickBot="1" x14ac:dyDescent="0.35">
      <c r="A64" s="85">
        <v>45516</v>
      </c>
      <c r="B64" s="86" t="s">
        <v>159</v>
      </c>
      <c r="C64" s="86" t="s">
        <v>109</v>
      </c>
      <c r="D64" s="86" t="s">
        <v>131</v>
      </c>
      <c r="E64" s="86" t="s">
        <v>122</v>
      </c>
      <c r="F64" s="86" t="s">
        <v>123</v>
      </c>
      <c r="G64" s="86">
        <v>12</v>
      </c>
      <c r="H64" s="86">
        <v>814</v>
      </c>
      <c r="I64" s="86">
        <v>1392</v>
      </c>
      <c r="J64" s="87">
        <v>9768</v>
      </c>
      <c r="K64" s="87">
        <v>16704</v>
      </c>
      <c r="L64" s="87">
        <v>6936</v>
      </c>
      <c r="M64" s="87" t="s">
        <v>116</v>
      </c>
    </row>
    <row r="65" spans="1:13" ht="15.6" thickTop="1" thickBot="1" x14ac:dyDescent="0.35">
      <c r="A65" s="85">
        <v>45407</v>
      </c>
      <c r="B65" s="86" t="s">
        <v>157</v>
      </c>
      <c r="C65" s="86" t="s">
        <v>139</v>
      </c>
      <c r="D65" s="86" t="s">
        <v>154</v>
      </c>
      <c r="E65" s="91" t="s">
        <v>151</v>
      </c>
      <c r="F65" s="86" t="s">
        <v>112</v>
      </c>
      <c r="G65" s="86">
        <v>26</v>
      </c>
      <c r="H65" s="86">
        <v>520</v>
      </c>
      <c r="I65" s="86">
        <v>1486</v>
      </c>
      <c r="J65" s="87">
        <v>13520</v>
      </c>
      <c r="K65" s="87">
        <v>38636</v>
      </c>
      <c r="L65" s="87">
        <v>25116</v>
      </c>
      <c r="M65" s="87" t="s">
        <v>116</v>
      </c>
    </row>
    <row r="66" spans="1:13" ht="15.6" thickTop="1" thickBot="1" x14ac:dyDescent="0.35">
      <c r="A66" s="85">
        <v>45407</v>
      </c>
      <c r="B66" s="86" t="s">
        <v>157</v>
      </c>
      <c r="C66" s="86" t="s">
        <v>139</v>
      </c>
      <c r="D66" s="86" t="s">
        <v>154</v>
      </c>
      <c r="E66" s="86" t="s">
        <v>151</v>
      </c>
      <c r="F66" s="86" t="s">
        <v>112</v>
      </c>
      <c r="G66" s="86">
        <v>24</v>
      </c>
      <c r="H66" s="86">
        <v>859</v>
      </c>
      <c r="I66" s="86">
        <v>1473</v>
      </c>
      <c r="J66" s="87">
        <v>20616</v>
      </c>
      <c r="K66" s="87">
        <v>35352</v>
      </c>
      <c r="L66" s="87">
        <v>14736</v>
      </c>
      <c r="M66" s="87" t="s">
        <v>116</v>
      </c>
    </row>
    <row r="67" spans="1:13" ht="15.6" thickTop="1" thickBot="1" x14ac:dyDescent="0.35">
      <c r="A67" s="85">
        <v>45554</v>
      </c>
      <c r="B67" s="86" t="s">
        <v>214</v>
      </c>
      <c r="C67" s="86" t="s">
        <v>109</v>
      </c>
      <c r="D67" s="86" t="s">
        <v>131</v>
      </c>
      <c r="E67" s="86" t="s">
        <v>133</v>
      </c>
      <c r="F67" s="86" t="s">
        <v>123</v>
      </c>
      <c r="G67" s="86">
        <v>14</v>
      </c>
      <c r="H67" s="86">
        <v>515</v>
      </c>
      <c r="I67" s="86">
        <v>1230</v>
      </c>
      <c r="J67" s="87">
        <v>7210</v>
      </c>
      <c r="K67" s="87">
        <v>17220</v>
      </c>
      <c r="L67" s="87">
        <v>10010</v>
      </c>
      <c r="M67" s="87" t="s">
        <v>116</v>
      </c>
    </row>
    <row r="68" spans="1:13" ht="15.6" thickTop="1" thickBot="1" x14ac:dyDescent="0.35">
      <c r="A68" s="85">
        <v>45631</v>
      </c>
      <c r="B68" s="86" t="s">
        <v>320</v>
      </c>
      <c r="C68" s="86" t="s">
        <v>139</v>
      </c>
      <c r="D68" s="86" t="s">
        <v>205</v>
      </c>
      <c r="E68" s="86" t="s">
        <v>125</v>
      </c>
      <c r="F68" s="86" t="s">
        <v>123</v>
      </c>
      <c r="G68" s="86">
        <v>21</v>
      </c>
      <c r="H68" s="86">
        <v>540</v>
      </c>
      <c r="I68" s="86">
        <v>812</v>
      </c>
      <c r="J68" s="87">
        <v>11340</v>
      </c>
      <c r="K68" s="87">
        <v>17052</v>
      </c>
      <c r="L68" s="87">
        <v>5712</v>
      </c>
      <c r="M68" s="87" t="s">
        <v>116</v>
      </c>
    </row>
    <row r="69" spans="1:13" ht="15.6" thickTop="1" thickBot="1" x14ac:dyDescent="0.35">
      <c r="A69" s="85">
        <v>45631</v>
      </c>
      <c r="B69" s="86" t="s">
        <v>320</v>
      </c>
      <c r="C69" s="86" t="s">
        <v>139</v>
      </c>
      <c r="D69" s="86" t="s">
        <v>205</v>
      </c>
      <c r="E69" s="86" t="s">
        <v>125</v>
      </c>
      <c r="F69" s="86" t="s">
        <v>123</v>
      </c>
      <c r="G69" s="86">
        <v>20</v>
      </c>
      <c r="H69" s="86">
        <v>854</v>
      </c>
      <c r="I69" s="86">
        <v>956</v>
      </c>
      <c r="J69" s="87">
        <v>17080</v>
      </c>
      <c r="K69" s="87">
        <v>19120</v>
      </c>
      <c r="L69" s="87">
        <v>2040</v>
      </c>
      <c r="M69" s="87" t="s">
        <v>116</v>
      </c>
    </row>
    <row r="70" spans="1:13" ht="15.6" thickTop="1" thickBot="1" x14ac:dyDescent="0.35">
      <c r="A70" s="85">
        <v>45394</v>
      </c>
      <c r="B70" s="90" t="s">
        <v>228</v>
      </c>
      <c r="C70" s="86" t="s">
        <v>139</v>
      </c>
      <c r="D70" s="86" t="s">
        <v>140</v>
      </c>
      <c r="E70" s="86" t="s">
        <v>133</v>
      </c>
      <c r="F70" s="86" t="s">
        <v>112</v>
      </c>
      <c r="G70" s="86">
        <v>20</v>
      </c>
      <c r="H70" s="86">
        <v>557</v>
      </c>
      <c r="I70" s="86">
        <v>1002</v>
      </c>
      <c r="J70" s="87">
        <v>11140</v>
      </c>
      <c r="K70" s="87">
        <v>20040</v>
      </c>
      <c r="L70" s="87">
        <v>8900</v>
      </c>
      <c r="M70" s="87" t="s">
        <v>116</v>
      </c>
    </row>
    <row r="71" spans="1:13" ht="15.6" thickTop="1" thickBot="1" x14ac:dyDescent="0.35">
      <c r="A71" s="85">
        <v>45394</v>
      </c>
      <c r="B71" s="86" t="s">
        <v>228</v>
      </c>
      <c r="C71" s="86" t="s">
        <v>139</v>
      </c>
      <c r="D71" s="86" t="s">
        <v>140</v>
      </c>
      <c r="E71" s="86" t="s">
        <v>133</v>
      </c>
      <c r="F71" s="86" t="s">
        <v>112</v>
      </c>
      <c r="G71" s="86">
        <v>28</v>
      </c>
      <c r="H71" s="86">
        <v>832</v>
      </c>
      <c r="I71" s="86">
        <v>1028</v>
      </c>
      <c r="J71" s="87">
        <v>23296</v>
      </c>
      <c r="K71" s="87">
        <v>28784</v>
      </c>
      <c r="L71" s="87">
        <v>5488</v>
      </c>
      <c r="M71" s="87" t="s">
        <v>116</v>
      </c>
    </row>
    <row r="72" spans="1:13" ht="15.6" thickTop="1" thickBot="1" x14ac:dyDescent="0.35">
      <c r="A72" s="85">
        <v>45394</v>
      </c>
      <c r="B72" s="86" t="s">
        <v>228</v>
      </c>
      <c r="C72" s="86" t="s">
        <v>139</v>
      </c>
      <c r="D72" s="86" t="s">
        <v>140</v>
      </c>
      <c r="E72" s="86" t="s">
        <v>133</v>
      </c>
      <c r="F72" s="86" t="s">
        <v>112</v>
      </c>
      <c r="G72" s="86">
        <v>28</v>
      </c>
      <c r="H72" s="86">
        <v>918</v>
      </c>
      <c r="I72" s="86">
        <v>808</v>
      </c>
      <c r="J72" s="87">
        <v>25704</v>
      </c>
      <c r="K72" s="87">
        <v>22624</v>
      </c>
      <c r="L72" s="87">
        <v>-3080</v>
      </c>
      <c r="M72" s="87" t="s">
        <v>113</v>
      </c>
    </row>
    <row r="73" spans="1:13" ht="15.6" thickTop="1" thickBot="1" x14ac:dyDescent="0.35">
      <c r="A73" s="85">
        <v>45664</v>
      </c>
      <c r="B73" s="86" t="s">
        <v>309</v>
      </c>
      <c r="C73" s="86" t="s">
        <v>109</v>
      </c>
      <c r="D73" s="86" t="s">
        <v>110</v>
      </c>
      <c r="E73" s="86" t="s">
        <v>118</v>
      </c>
      <c r="F73" s="86" t="s">
        <v>112</v>
      </c>
      <c r="G73" s="86">
        <v>11</v>
      </c>
      <c r="H73" s="86">
        <v>668</v>
      </c>
      <c r="I73" s="86">
        <v>1096</v>
      </c>
      <c r="J73" s="87">
        <v>7348</v>
      </c>
      <c r="K73" s="87">
        <v>12056</v>
      </c>
      <c r="L73" s="87">
        <v>4708</v>
      </c>
      <c r="M73" s="87" t="s">
        <v>116</v>
      </c>
    </row>
    <row r="74" spans="1:13" ht="15.6" thickTop="1" thickBot="1" x14ac:dyDescent="0.35">
      <c r="A74" s="85">
        <v>45562</v>
      </c>
      <c r="B74" s="86" t="s">
        <v>173</v>
      </c>
      <c r="C74" s="86" t="s">
        <v>109</v>
      </c>
      <c r="D74" s="86" t="s">
        <v>110</v>
      </c>
      <c r="E74" s="86" t="s">
        <v>129</v>
      </c>
      <c r="F74" s="86" t="s">
        <v>123</v>
      </c>
      <c r="G74" s="86">
        <v>16</v>
      </c>
      <c r="H74" s="86">
        <v>963</v>
      </c>
      <c r="I74" s="86">
        <v>1186</v>
      </c>
      <c r="J74" s="87">
        <v>15408</v>
      </c>
      <c r="K74" s="87">
        <v>18976</v>
      </c>
      <c r="L74" s="87">
        <v>3568</v>
      </c>
      <c r="M74" s="87" t="s">
        <v>116</v>
      </c>
    </row>
    <row r="75" spans="1:13" ht="15.6" thickTop="1" thickBot="1" x14ac:dyDescent="0.35">
      <c r="A75" s="85">
        <v>45562</v>
      </c>
      <c r="B75" s="86" t="s">
        <v>173</v>
      </c>
      <c r="C75" s="86" t="s">
        <v>109</v>
      </c>
      <c r="D75" s="86" t="s">
        <v>110</v>
      </c>
      <c r="E75" s="86" t="s">
        <v>129</v>
      </c>
      <c r="F75" s="86" t="s">
        <v>123</v>
      </c>
      <c r="G75" s="86">
        <v>16</v>
      </c>
      <c r="H75" s="86">
        <v>599</v>
      </c>
      <c r="I75" s="86">
        <v>1490</v>
      </c>
      <c r="J75" s="87">
        <v>9584</v>
      </c>
      <c r="K75" s="87">
        <v>23840</v>
      </c>
      <c r="L75" s="87">
        <v>14256</v>
      </c>
      <c r="M75" s="87" t="s">
        <v>116</v>
      </c>
    </row>
    <row r="76" spans="1:13" ht="15.6" thickTop="1" thickBot="1" x14ac:dyDescent="0.35">
      <c r="A76" s="85">
        <v>45623</v>
      </c>
      <c r="B76" s="86" t="s">
        <v>313</v>
      </c>
      <c r="C76" s="86" t="s">
        <v>139</v>
      </c>
      <c r="D76" s="86" t="s">
        <v>154</v>
      </c>
      <c r="E76" s="86" t="s">
        <v>146</v>
      </c>
      <c r="F76" s="86" t="s">
        <v>112</v>
      </c>
      <c r="G76" s="86">
        <v>24</v>
      </c>
      <c r="H76" s="86">
        <v>830</v>
      </c>
      <c r="I76" s="86">
        <v>1355</v>
      </c>
      <c r="J76" s="87">
        <v>19920</v>
      </c>
      <c r="K76" s="87">
        <v>32520</v>
      </c>
      <c r="L76" s="87">
        <v>12600</v>
      </c>
      <c r="M76" s="87" t="s">
        <v>116</v>
      </c>
    </row>
    <row r="77" spans="1:13" ht="15.6" thickTop="1" thickBot="1" x14ac:dyDescent="0.35">
      <c r="A77" s="85">
        <v>45623</v>
      </c>
      <c r="B77" s="86" t="s">
        <v>313</v>
      </c>
      <c r="C77" s="86" t="s">
        <v>139</v>
      </c>
      <c r="D77" s="86" t="s">
        <v>154</v>
      </c>
      <c r="E77" s="86" t="s">
        <v>146</v>
      </c>
      <c r="F77" s="86" t="s">
        <v>112</v>
      </c>
      <c r="G77" s="86">
        <v>23</v>
      </c>
      <c r="H77" s="86">
        <v>531</v>
      </c>
      <c r="I77" s="86">
        <v>1072</v>
      </c>
      <c r="J77" s="87">
        <v>12213</v>
      </c>
      <c r="K77" s="87">
        <v>24656</v>
      </c>
      <c r="L77" s="87">
        <v>12443</v>
      </c>
      <c r="M77" s="87" t="s">
        <v>116</v>
      </c>
    </row>
    <row r="78" spans="1:13" ht="15.6" thickTop="1" thickBot="1" x14ac:dyDescent="0.35">
      <c r="A78" s="85">
        <v>45623</v>
      </c>
      <c r="B78" s="86" t="s">
        <v>313</v>
      </c>
      <c r="C78" s="86" t="s">
        <v>139</v>
      </c>
      <c r="D78" s="86" t="s">
        <v>154</v>
      </c>
      <c r="E78" s="86" t="s">
        <v>146</v>
      </c>
      <c r="F78" s="86" t="s">
        <v>112</v>
      </c>
      <c r="G78" s="86">
        <v>27</v>
      </c>
      <c r="H78" s="86">
        <v>744</v>
      </c>
      <c r="I78" s="86">
        <v>1253</v>
      </c>
      <c r="J78" s="87">
        <v>20088</v>
      </c>
      <c r="K78" s="87">
        <v>33831</v>
      </c>
      <c r="L78" s="87">
        <v>13743</v>
      </c>
      <c r="M78" s="87" t="s">
        <v>116</v>
      </c>
    </row>
    <row r="79" spans="1:13" ht="15.6" thickTop="1" thickBot="1" x14ac:dyDescent="0.35">
      <c r="A79" s="85">
        <v>45483</v>
      </c>
      <c r="B79" s="86" t="s">
        <v>148</v>
      </c>
      <c r="C79" s="86" t="s">
        <v>109</v>
      </c>
      <c r="D79" s="86" t="s">
        <v>131</v>
      </c>
      <c r="E79" s="86" t="s">
        <v>133</v>
      </c>
      <c r="F79" s="86" t="s">
        <v>112</v>
      </c>
      <c r="G79" s="86">
        <v>17</v>
      </c>
      <c r="H79" s="86">
        <v>641</v>
      </c>
      <c r="I79" s="86">
        <v>765</v>
      </c>
      <c r="J79" s="87">
        <v>10897</v>
      </c>
      <c r="K79" s="87">
        <v>13005</v>
      </c>
      <c r="L79" s="87">
        <v>2108</v>
      </c>
      <c r="M79" s="87" t="s">
        <v>116</v>
      </c>
    </row>
    <row r="80" spans="1:13" ht="15.6" thickTop="1" thickBot="1" x14ac:dyDescent="0.35">
      <c r="A80" s="85">
        <v>45483</v>
      </c>
      <c r="B80" s="86" t="s">
        <v>148</v>
      </c>
      <c r="C80" s="86" t="s">
        <v>109</v>
      </c>
      <c r="D80" s="86" t="s">
        <v>131</v>
      </c>
      <c r="E80" s="86" t="s">
        <v>133</v>
      </c>
      <c r="F80" s="86" t="s">
        <v>112</v>
      </c>
      <c r="G80" s="86">
        <v>11</v>
      </c>
      <c r="H80" s="86">
        <v>991</v>
      </c>
      <c r="I80" s="86">
        <v>803</v>
      </c>
      <c r="J80" s="87">
        <v>10901</v>
      </c>
      <c r="K80" s="87">
        <v>8833</v>
      </c>
      <c r="L80" s="87">
        <v>-2068</v>
      </c>
      <c r="M80" s="87" t="s">
        <v>113</v>
      </c>
    </row>
    <row r="81" spans="1:13" ht="15.6" thickTop="1" thickBot="1" x14ac:dyDescent="0.35">
      <c r="A81" s="85">
        <v>45405</v>
      </c>
      <c r="B81" s="86" t="s">
        <v>153</v>
      </c>
      <c r="C81" s="86" t="s">
        <v>139</v>
      </c>
      <c r="D81" s="86" t="s">
        <v>154</v>
      </c>
      <c r="E81" s="86" t="s">
        <v>155</v>
      </c>
      <c r="F81" s="86" t="s">
        <v>123</v>
      </c>
      <c r="G81" s="86">
        <v>25</v>
      </c>
      <c r="H81" s="86">
        <v>958</v>
      </c>
      <c r="I81" s="86">
        <v>942</v>
      </c>
      <c r="J81" s="87">
        <v>23950</v>
      </c>
      <c r="K81" s="87">
        <v>23550</v>
      </c>
      <c r="L81" s="87">
        <v>-400</v>
      </c>
      <c r="M81" s="87" t="s">
        <v>113</v>
      </c>
    </row>
    <row r="82" spans="1:13" ht="15.6" thickTop="1" thickBot="1" x14ac:dyDescent="0.35">
      <c r="A82" s="85">
        <v>45405</v>
      </c>
      <c r="B82" s="86" t="s">
        <v>153</v>
      </c>
      <c r="C82" s="86" t="s">
        <v>139</v>
      </c>
      <c r="D82" s="86" t="s">
        <v>154</v>
      </c>
      <c r="E82" s="86" t="s">
        <v>155</v>
      </c>
      <c r="F82" s="86" t="s">
        <v>123</v>
      </c>
      <c r="G82" s="86">
        <v>29</v>
      </c>
      <c r="H82" s="86">
        <v>893</v>
      </c>
      <c r="I82" s="86">
        <v>865</v>
      </c>
      <c r="J82" s="87">
        <v>25897</v>
      </c>
      <c r="K82" s="87">
        <v>25085</v>
      </c>
      <c r="L82" s="87">
        <v>-812</v>
      </c>
      <c r="M82" s="87" t="s">
        <v>113</v>
      </c>
    </row>
    <row r="83" spans="1:13" ht="15.6" thickTop="1" thickBot="1" x14ac:dyDescent="0.35">
      <c r="A83" s="85">
        <v>45550</v>
      </c>
      <c r="B83" s="86" t="s">
        <v>169</v>
      </c>
      <c r="C83" s="86" t="s">
        <v>109</v>
      </c>
      <c r="D83" s="86" t="s">
        <v>131</v>
      </c>
      <c r="E83" s="86" t="s">
        <v>137</v>
      </c>
      <c r="F83" s="86" t="s">
        <v>112</v>
      </c>
      <c r="G83" s="86">
        <v>20</v>
      </c>
      <c r="H83" s="86">
        <v>508</v>
      </c>
      <c r="I83" s="86">
        <v>1433</v>
      </c>
      <c r="J83" s="87">
        <v>10160</v>
      </c>
      <c r="K83" s="87">
        <v>28660</v>
      </c>
      <c r="L83" s="87">
        <v>18500</v>
      </c>
      <c r="M83" s="87" t="s">
        <v>116</v>
      </c>
    </row>
    <row r="84" spans="1:13" ht="15.6" thickTop="1" thickBot="1" x14ac:dyDescent="0.35">
      <c r="A84" s="85">
        <v>45550</v>
      </c>
      <c r="B84" s="86" t="s">
        <v>169</v>
      </c>
      <c r="C84" s="86" t="s">
        <v>109</v>
      </c>
      <c r="D84" s="86" t="s">
        <v>131</v>
      </c>
      <c r="E84" s="86" t="s">
        <v>137</v>
      </c>
      <c r="F84" s="86" t="s">
        <v>112</v>
      </c>
      <c r="G84" s="86">
        <v>12</v>
      </c>
      <c r="H84" s="86">
        <v>671</v>
      </c>
      <c r="I84" s="86">
        <v>850</v>
      </c>
      <c r="J84" s="87">
        <v>8052</v>
      </c>
      <c r="K84" s="87">
        <v>10200</v>
      </c>
      <c r="L84" s="87">
        <v>2148</v>
      </c>
      <c r="M84" s="87" t="s">
        <v>116</v>
      </c>
    </row>
    <row r="85" spans="1:13" ht="15.6" thickTop="1" thickBot="1" x14ac:dyDescent="0.35">
      <c r="A85" s="85">
        <v>45550</v>
      </c>
      <c r="B85" s="86" t="s">
        <v>169</v>
      </c>
      <c r="C85" s="86" t="s">
        <v>109</v>
      </c>
      <c r="D85" s="86" t="s">
        <v>131</v>
      </c>
      <c r="E85" s="86" t="s">
        <v>137</v>
      </c>
      <c r="F85" s="86" t="s">
        <v>112</v>
      </c>
      <c r="G85" s="86">
        <v>15</v>
      </c>
      <c r="H85" s="86">
        <v>674</v>
      </c>
      <c r="I85" s="86">
        <v>1125</v>
      </c>
      <c r="J85" s="87">
        <v>10110</v>
      </c>
      <c r="K85" s="87">
        <v>16875</v>
      </c>
      <c r="L85" s="87">
        <v>6765</v>
      </c>
      <c r="M85" s="87" t="s">
        <v>116</v>
      </c>
    </row>
    <row r="86" spans="1:13" ht="15.6" thickTop="1" thickBot="1" x14ac:dyDescent="0.35">
      <c r="A86" s="85">
        <v>45585</v>
      </c>
      <c r="B86" s="91" t="s">
        <v>182</v>
      </c>
      <c r="C86" s="86" t="s">
        <v>109</v>
      </c>
      <c r="D86" s="86" t="s">
        <v>131</v>
      </c>
      <c r="E86" s="86" t="s">
        <v>133</v>
      </c>
      <c r="F86" s="86" t="s">
        <v>112</v>
      </c>
      <c r="G86" s="86">
        <v>14</v>
      </c>
      <c r="H86" s="86">
        <v>533</v>
      </c>
      <c r="I86" s="86">
        <v>922</v>
      </c>
      <c r="J86" s="87">
        <v>7462</v>
      </c>
      <c r="K86" s="87">
        <v>12908</v>
      </c>
      <c r="L86" s="87">
        <v>5446</v>
      </c>
      <c r="M86" s="87" t="s">
        <v>116</v>
      </c>
    </row>
    <row r="87" spans="1:13" ht="15.6" thickTop="1" thickBot="1" x14ac:dyDescent="0.35">
      <c r="A87" s="85">
        <v>45585</v>
      </c>
      <c r="B87" s="86" t="s">
        <v>182</v>
      </c>
      <c r="C87" s="86" t="s">
        <v>109</v>
      </c>
      <c r="D87" s="86" t="s">
        <v>131</v>
      </c>
      <c r="E87" s="86" t="s">
        <v>133</v>
      </c>
      <c r="F87" s="86" t="s">
        <v>112</v>
      </c>
      <c r="G87" s="86">
        <v>16</v>
      </c>
      <c r="H87" s="86">
        <v>846</v>
      </c>
      <c r="I87" s="86">
        <v>1375</v>
      </c>
      <c r="J87" s="87">
        <v>13536</v>
      </c>
      <c r="K87" s="87">
        <v>22000</v>
      </c>
      <c r="L87" s="87">
        <v>8464</v>
      </c>
      <c r="M87" s="87" t="s">
        <v>116</v>
      </c>
    </row>
    <row r="88" spans="1:13" ht="15.6" thickTop="1" thickBot="1" x14ac:dyDescent="0.35">
      <c r="A88" s="85">
        <v>45585</v>
      </c>
      <c r="B88" s="86" t="s">
        <v>182</v>
      </c>
      <c r="C88" s="86" t="s">
        <v>109</v>
      </c>
      <c r="D88" s="86" t="s">
        <v>131</v>
      </c>
      <c r="E88" s="86" t="s">
        <v>133</v>
      </c>
      <c r="F88" s="86" t="s">
        <v>112</v>
      </c>
      <c r="G88" s="86">
        <v>20</v>
      </c>
      <c r="H88" s="86">
        <v>844</v>
      </c>
      <c r="I88" s="86">
        <v>1010</v>
      </c>
      <c r="J88" s="87">
        <v>16880</v>
      </c>
      <c r="K88" s="87">
        <v>20200</v>
      </c>
      <c r="L88" s="87">
        <v>3320</v>
      </c>
      <c r="M88" s="87" t="s">
        <v>116</v>
      </c>
    </row>
    <row r="89" spans="1:13" ht="15.6" thickTop="1" thickBot="1" x14ac:dyDescent="0.35">
      <c r="A89" s="85">
        <v>45411</v>
      </c>
      <c r="B89" s="90" t="s">
        <v>238</v>
      </c>
      <c r="C89" s="86" t="s">
        <v>139</v>
      </c>
      <c r="D89" s="86" t="s">
        <v>154</v>
      </c>
      <c r="E89" s="86" t="s">
        <v>137</v>
      </c>
      <c r="F89" s="86" t="s">
        <v>112</v>
      </c>
      <c r="G89" s="86">
        <v>26</v>
      </c>
      <c r="H89" s="86">
        <v>647</v>
      </c>
      <c r="I89" s="86">
        <v>1025</v>
      </c>
      <c r="J89" s="87">
        <v>16822</v>
      </c>
      <c r="K89" s="87">
        <v>26650</v>
      </c>
      <c r="L89" s="87">
        <v>9828</v>
      </c>
      <c r="M89" s="87" t="s">
        <v>116</v>
      </c>
    </row>
    <row r="90" spans="1:13" ht="15.6" thickTop="1" thickBot="1" x14ac:dyDescent="0.35">
      <c r="A90" s="85">
        <v>45411</v>
      </c>
      <c r="B90" s="86" t="s">
        <v>238</v>
      </c>
      <c r="C90" s="86" t="s">
        <v>139</v>
      </c>
      <c r="D90" s="86" t="s">
        <v>154</v>
      </c>
      <c r="E90" s="86" t="s">
        <v>137</v>
      </c>
      <c r="F90" s="86" t="s">
        <v>112</v>
      </c>
      <c r="G90" s="86">
        <v>26</v>
      </c>
      <c r="H90" s="86">
        <v>835</v>
      </c>
      <c r="I90" s="86">
        <v>973</v>
      </c>
      <c r="J90" s="87">
        <v>21710</v>
      </c>
      <c r="K90" s="87">
        <v>25298</v>
      </c>
      <c r="L90" s="87">
        <v>3588</v>
      </c>
      <c r="M90" s="87" t="s">
        <v>116</v>
      </c>
    </row>
    <row r="91" spans="1:13" ht="15.6" thickTop="1" thickBot="1" x14ac:dyDescent="0.35">
      <c r="A91" s="85">
        <v>45411</v>
      </c>
      <c r="B91" s="86" t="s">
        <v>238</v>
      </c>
      <c r="C91" s="86" t="s">
        <v>139</v>
      </c>
      <c r="D91" s="86" t="s">
        <v>154</v>
      </c>
      <c r="E91" s="86" t="s">
        <v>137</v>
      </c>
      <c r="F91" s="86" t="s">
        <v>112</v>
      </c>
      <c r="G91" s="86">
        <v>27</v>
      </c>
      <c r="H91" s="86">
        <v>828</v>
      </c>
      <c r="I91" s="86">
        <v>1008</v>
      </c>
      <c r="J91" s="87">
        <v>22356</v>
      </c>
      <c r="K91" s="87">
        <v>27216</v>
      </c>
      <c r="L91" s="87">
        <v>4860</v>
      </c>
      <c r="M91" s="87" t="s">
        <v>116</v>
      </c>
    </row>
    <row r="92" spans="1:13" ht="15.6" thickTop="1" thickBot="1" x14ac:dyDescent="0.35">
      <c r="A92" s="85">
        <v>45410</v>
      </c>
      <c r="B92" s="90" t="s">
        <v>237</v>
      </c>
      <c r="C92" s="86" t="s">
        <v>139</v>
      </c>
      <c r="D92" s="86" t="s">
        <v>154</v>
      </c>
      <c r="E92" s="86" t="s">
        <v>200</v>
      </c>
      <c r="F92" s="86" t="s">
        <v>112</v>
      </c>
      <c r="G92" s="86">
        <v>23</v>
      </c>
      <c r="H92" s="86">
        <v>649</v>
      </c>
      <c r="I92" s="86">
        <v>1210</v>
      </c>
      <c r="J92" s="87">
        <v>14927</v>
      </c>
      <c r="K92" s="87">
        <v>27830</v>
      </c>
      <c r="L92" s="87">
        <v>12903</v>
      </c>
      <c r="M92" s="87" t="s">
        <v>116</v>
      </c>
    </row>
    <row r="93" spans="1:13" ht="15.6" thickTop="1" thickBot="1" x14ac:dyDescent="0.35">
      <c r="A93" s="85">
        <v>45410</v>
      </c>
      <c r="B93" s="86" t="s">
        <v>237</v>
      </c>
      <c r="C93" s="86" t="s">
        <v>139</v>
      </c>
      <c r="D93" s="86" t="s">
        <v>154</v>
      </c>
      <c r="E93" s="86" t="s">
        <v>200</v>
      </c>
      <c r="F93" s="86" t="s">
        <v>112</v>
      </c>
      <c r="G93" s="86">
        <v>28</v>
      </c>
      <c r="H93" s="86">
        <v>814</v>
      </c>
      <c r="I93" s="86">
        <v>1343</v>
      </c>
      <c r="J93" s="87">
        <v>22792</v>
      </c>
      <c r="K93" s="87">
        <v>37604</v>
      </c>
      <c r="L93" s="87">
        <v>14812</v>
      </c>
      <c r="M93" s="87" t="s">
        <v>116</v>
      </c>
    </row>
    <row r="94" spans="1:13" ht="15.6" thickTop="1" thickBot="1" x14ac:dyDescent="0.35">
      <c r="A94" s="85">
        <v>45410</v>
      </c>
      <c r="B94" s="86" t="s">
        <v>237</v>
      </c>
      <c r="C94" s="86" t="s">
        <v>139</v>
      </c>
      <c r="D94" s="86" t="s">
        <v>154</v>
      </c>
      <c r="E94" s="86" t="s">
        <v>200</v>
      </c>
      <c r="F94" s="86" t="s">
        <v>112</v>
      </c>
      <c r="G94" s="86">
        <v>23</v>
      </c>
      <c r="H94" s="86">
        <v>736</v>
      </c>
      <c r="I94" s="86">
        <v>872</v>
      </c>
      <c r="J94" s="87">
        <v>16928</v>
      </c>
      <c r="K94" s="87">
        <v>20056</v>
      </c>
      <c r="L94" s="87">
        <v>3128</v>
      </c>
      <c r="M94" s="87" t="s">
        <v>116</v>
      </c>
    </row>
    <row r="95" spans="1:13" ht="15.6" thickTop="1" thickBot="1" x14ac:dyDescent="0.35">
      <c r="A95" s="85">
        <v>45482</v>
      </c>
      <c r="B95" s="86" t="s">
        <v>147</v>
      </c>
      <c r="C95" s="86" t="s">
        <v>109</v>
      </c>
      <c r="D95" s="86" t="s">
        <v>131</v>
      </c>
      <c r="E95" s="86" t="s">
        <v>129</v>
      </c>
      <c r="F95" s="86" t="s">
        <v>123</v>
      </c>
      <c r="G95" s="86">
        <v>18</v>
      </c>
      <c r="H95" s="86">
        <v>674</v>
      </c>
      <c r="I95" s="86">
        <v>775</v>
      </c>
      <c r="J95" s="87">
        <v>12132</v>
      </c>
      <c r="K95" s="92">
        <v>13950</v>
      </c>
      <c r="L95" s="87">
        <v>1818</v>
      </c>
      <c r="M95" s="87" t="s">
        <v>116</v>
      </c>
    </row>
    <row r="96" spans="1:13" ht="15.6" thickTop="1" thickBot="1" x14ac:dyDescent="0.35">
      <c r="A96" s="85">
        <v>45482</v>
      </c>
      <c r="B96" s="86" t="s">
        <v>147</v>
      </c>
      <c r="C96" s="86" t="s">
        <v>109</v>
      </c>
      <c r="D96" s="86" t="s">
        <v>131</v>
      </c>
      <c r="E96" s="86" t="s">
        <v>129</v>
      </c>
      <c r="F96" s="86" t="s">
        <v>123</v>
      </c>
      <c r="G96" s="86">
        <v>20</v>
      </c>
      <c r="H96" s="86">
        <v>589</v>
      </c>
      <c r="I96" s="86">
        <v>773</v>
      </c>
      <c r="J96" s="87">
        <v>11780</v>
      </c>
      <c r="K96" s="87">
        <v>15460</v>
      </c>
      <c r="L96" s="87">
        <v>3680</v>
      </c>
      <c r="M96" s="87" t="s">
        <v>116</v>
      </c>
    </row>
    <row r="97" spans="1:13" ht="15.6" thickTop="1" thickBot="1" x14ac:dyDescent="0.35">
      <c r="A97" s="85">
        <v>45482</v>
      </c>
      <c r="B97" s="86" t="s">
        <v>147</v>
      </c>
      <c r="C97" s="86" t="s">
        <v>109</v>
      </c>
      <c r="D97" s="86" t="s">
        <v>131</v>
      </c>
      <c r="E97" s="86" t="s">
        <v>129</v>
      </c>
      <c r="F97" s="86" t="s">
        <v>123</v>
      </c>
      <c r="G97" s="86">
        <v>19</v>
      </c>
      <c r="H97" s="86">
        <v>536</v>
      </c>
      <c r="I97" s="86">
        <v>927</v>
      </c>
      <c r="J97" s="87">
        <v>10184</v>
      </c>
      <c r="K97" s="87">
        <v>17613</v>
      </c>
      <c r="L97" s="87">
        <v>7429</v>
      </c>
      <c r="M97" s="87" t="s">
        <v>116</v>
      </c>
    </row>
    <row r="98" spans="1:13" ht="15.6" thickTop="1" thickBot="1" x14ac:dyDescent="0.35">
      <c r="A98" s="85">
        <v>45545</v>
      </c>
      <c r="B98" s="86" t="s">
        <v>163</v>
      </c>
      <c r="C98" s="86" t="s">
        <v>109</v>
      </c>
      <c r="D98" s="86" t="s">
        <v>131</v>
      </c>
      <c r="E98" s="86" t="s">
        <v>120</v>
      </c>
      <c r="F98" s="86" t="s">
        <v>123</v>
      </c>
      <c r="G98" s="86">
        <v>19</v>
      </c>
      <c r="H98" s="86">
        <v>630</v>
      </c>
      <c r="I98" s="86">
        <v>882</v>
      </c>
      <c r="J98" s="87">
        <v>11970</v>
      </c>
      <c r="K98" s="87">
        <v>16758</v>
      </c>
      <c r="L98" s="87">
        <v>4788</v>
      </c>
      <c r="M98" s="87" t="s">
        <v>116</v>
      </c>
    </row>
    <row r="99" spans="1:13" ht="15.6" thickTop="1" thickBot="1" x14ac:dyDescent="0.35">
      <c r="A99" s="85">
        <v>45545</v>
      </c>
      <c r="B99" s="86" t="s">
        <v>163</v>
      </c>
      <c r="C99" s="86" t="s">
        <v>109</v>
      </c>
      <c r="D99" s="86" t="s">
        <v>131</v>
      </c>
      <c r="E99" s="86" t="s">
        <v>120</v>
      </c>
      <c r="F99" s="86" t="s">
        <v>123</v>
      </c>
      <c r="G99" s="86">
        <v>14</v>
      </c>
      <c r="H99" s="86">
        <v>504</v>
      </c>
      <c r="I99" s="86">
        <v>1130</v>
      </c>
      <c r="J99" s="87">
        <v>7056</v>
      </c>
      <c r="K99" s="87">
        <v>15820</v>
      </c>
      <c r="L99" s="87">
        <v>8764</v>
      </c>
      <c r="M99" s="87" t="s">
        <v>116</v>
      </c>
    </row>
    <row r="100" spans="1:13" ht="15.6" thickTop="1" thickBot="1" x14ac:dyDescent="0.35">
      <c r="A100" s="85">
        <v>45517</v>
      </c>
      <c r="B100" s="86" t="s">
        <v>278</v>
      </c>
      <c r="C100" s="86" t="s">
        <v>139</v>
      </c>
      <c r="D100" s="86" t="s">
        <v>205</v>
      </c>
      <c r="E100" s="86" t="s">
        <v>137</v>
      </c>
      <c r="F100" s="86" t="s">
        <v>123</v>
      </c>
      <c r="G100" s="86">
        <v>26</v>
      </c>
      <c r="H100" s="86">
        <v>715</v>
      </c>
      <c r="I100" s="86">
        <v>1113</v>
      </c>
      <c r="J100" s="87">
        <v>18590</v>
      </c>
      <c r="K100" s="87">
        <v>28938</v>
      </c>
      <c r="L100" s="87">
        <v>10348</v>
      </c>
      <c r="M100" s="87" t="s">
        <v>116</v>
      </c>
    </row>
    <row r="101" spans="1:13" ht="15.6" thickTop="1" thickBot="1" x14ac:dyDescent="0.35">
      <c r="A101" s="85">
        <v>45517</v>
      </c>
      <c r="B101" s="86" t="s">
        <v>278</v>
      </c>
      <c r="C101" s="86" t="s">
        <v>139</v>
      </c>
      <c r="D101" s="86" t="s">
        <v>205</v>
      </c>
      <c r="E101" s="86" t="s">
        <v>137</v>
      </c>
      <c r="F101" s="86" t="s">
        <v>123</v>
      </c>
      <c r="G101" s="86">
        <v>26</v>
      </c>
      <c r="H101" s="86">
        <v>847</v>
      </c>
      <c r="I101" s="86">
        <v>1116</v>
      </c>
      <c r="J101" s="87">
        <v>22022</v>
      </c>
      <c r="K101" s="87">
        <v>29016</v>
      </c>
      <c r="L101" s="87">
        <v>6994</v>
      </c>
      <c r="M101" s="87" t="s">
        <v>116</v>
      </c>
    </row>
    <row r="102" spans="1:13" ht="15.6" thickTop="1" thickBot="1" x14ac:dyDescent="0.35">
      <c r="A102" s="85">
        <v>45517</v>
      </c>
      <c r="B102" s="86" t="s">
        <v>278</v>
      </c>
      <c r="C102" s="86" t="s">
        <v>139</v>
      </c>
      <c r="D102" s="86" t="s">
        <v>205</v>
      </c>
      <c r="E102" s="86" t="s">
        <v>137</v>
      </c>
      <c r="F102" s="86" t="s">
        <v>123</v>
      </c>
      <c r="G102" s="86">
        <v>27</v>
      </c>
      <c r="H102" s="86">
        <v>966</v>
      </c>
      <c r="I102" s="86">
        <v>1255</v>
      </c>
      <c r="J102" s="87">
        <v>26082</v>
      </c>
      <c r="K102" s="87">
        <v>33885</v>
      </c>
      <c r="L102" s="87">
        <v>7803</v>
      </c>
      <c r="M102" s="87" t="s">
        <v>116</v>
      </c>
    </row>
    <row r="103" spans="1:13" ht="15.6" thickTop="1" thickBot="1" x14ac:dyDescent="0.35">
      <c r="A103" s="85">
        <v>45460</v>
      </c>
      <c r="B103" s="86" t="s">
        <v>124</v>
      </c>
      <c r="C103" s="86" t="s">
        <v>109</v>
      </c>
      <c r="D103" s="86" t="s">
        <v>110</v>
      </c>
      <c r="E103" s="91" t="s">
        <v>125</v>
      </c>
      <c r="F103" s="86" t="s">
        <v>123</v>
      </c>
      <c r="G103" s="86">
        <v>20</v>
      </c>
      <c r="H103" s="86">
        <v>699</v>
      </c>
      <c r="I103" s="86">
        <v>1400</v>
      </c>
      <c r="J103" s="87">
        <v>13980</v>
      </c>
      <c r="K103" s="87">
        <v>28000</v>
      </c>
      <c r="L103" s="87">
        <v>14020</v>
      </c>
      <c r="M103" s="87" t="s">
        <v>116</v>
      </c>
    </row>
    <row r="104" spans="1:13" ht="15.6" thickTop="1" thickBot="1" x14ac:dyDescent="0.35">
      <c r="A104" s="85">
        <v>45460</v>
      </c>
      <c r="B104" s="86" t="s">
        <v>124</v>
      </c>
      <c r="C104" s="86" t="s">
        <v>109</v>
      </c>
      <c r="D104" s="86" t="s">
        <v>110</v>
      </c>
      <c r="E104" s="86" t="s">
        <v>125</v>
      </c>
      <c r="F104" s="86" t="s">
        <v>123</v>
      </c>
      <c r="G104" s="86">
        <v>15</v>
      </c>
      <c r="H104" s="86">
        <v>545</v>
      </c>
      <c r="I104" s="86">
        <v>1182</v>
      </c>
      <c r="J104" s="87">
        <v>8175</v>
      </c>
      <c r="K104" s="87">
        <v>17730</v>
      </c>
      <c r="L104" s="87">
        <v>9555</v>
      </c>
      <c r="M104" s="87" t="s">
        <v>116</v>
      </c>
    </row>
    <row r="105" spans="1:13" ht="15.6" thickTop="1" thickBot="1" x14ac:dyDescent="0.35">
      <c r="A105" s="85">
        <v>45418</v>
      </c>
      <c r="B105" s="86" t="s">
        <v>247</v>
      </c>
      <c r="C105" s="86" t="s">
        <v>139</v>
      </c>
      <c r="D105" s="86" t="s">
        <v>154</v>
      </c>
      <c r="E105" s="86" t="s">
        <v>120</v>
      </c>
      <c r="F105" s="86" t="s">
        <v>112</v>
      </c>
      <c r="G105" s="86">
        <v>23</v>
      </c>
      <c r="H105" s="86">
        <v>584</v>
      </c>
      <c r="I105" s="86">
        <v>1168</v>
      </c>
      <c r="J105" s="87">
        <v>13432</v>
      </c>
      <c r="K105" s="87">
        <v>26864</v>
      </c>
      <c r="L105" s="87">
        <v>13432</v>
      </c>
      <c r="M105" s="87" t="s">
        <v>116</v>
      </c>
    </row>
    <row r="106" spans="1:13" ht="15.6" thickTop="1" thickBot="1" x14ac:dyDescent="0.35">
      <c r="A106" s="85">
        <v>45418</v>
      </c>
      <c r="B106" s="86" t="s">
        <v>247</v>
      </c>
      <c r="C106" s="86" t="s">
        <v>139</v>
      </c>
      <c r="D106" s="86" t="s">
        <v>154</v>
      </c>
      <c r="E106" s="86" t="s">
        <v>120</v>
      </c>
      <c r="F106" s="86" t="s">
        <v>112</v>
      </c>
      <c r="G106" s="86">
        <v>27</v>
      </c>
      <c r="H106" s="86">
        <v>890</v>
      </c>
      <c r="I106" s="86">
        <v>853</v>
      </c>
      <c r="J106" s="87">
        <v>24030</v>
      </c>
      <c r="K106" s="87">
        <v>23031</v>
      </c>
      <c r="L106" s="87">
        <v>-999</v>
      </c>
      <c r="M106" s="87" t="s">
        <v>113</v>
      </c>
    </row>
    <row r="107" spans="1:13" ht="15.6" thickTop="1" thickBot="1" x14ac:dyDescent="0.35">
      <c r="A107" s="85">
        <v>45418</v>
      </c>
      <c r="B107" s="86" t="s">
        <v>247</v>
      </c>
      <c r="C107" s="86" t="s">
        <v>139</v>
      </c>
      <c r="D107" s="86" t="s">
        <v>154</v>
      </c>
      <c r="E107" s="86" t="s">
        <v>120</v>
      </c>
      <c r="F107" s="86" t="s">
        <v>112</v>
      </c>
      <c r="G107" s="86">
        <v>25</v>
      </c>
      <c r="H107" s="86">
        <v>627</v>
      </c>
      <c r="I107" s="86">
        <v>1071</v>
      </c>
      <c r="J107" s="87">
        <v>15675</v>
      </c>
      <c r="K107" s="87">
        <v>26775</v>
      </c>
      <c r="L107" s="87">
        <v>11100</v>
      </c>
      <c r="M107" s="87" t="s">
        <v>116</v>
      </c>
    </row>
    <row r="108" spans="1:13" ht="15.6" thickTop="1" thickBot="1" x14ac:dyDescent="0.35">
      <c r="A108" s="85">
        <v>45384</v>
      </c>
      <c r="B108" s="86" t="s">
        <v>219</v>
      </c>
      <c r="C108" s="86" t="s">
        <v>139</v>
      </c>
      <c r="D108" s="86" t="s">
        <v>220</v>
      </c>
      <c r="E108" s="86" t="s">
        <v>137</v>
      </c>
      <c r="F108" s="86" t="s">
        <v>123</v>
      </c>
      <c r="G108" s="86">
        <v>30</v>
      </c>
      <c r="H108" s="86">
        <v>817</v>
      </c>
      <c r="I108" s="86">
        <v>1334</v>
      </c>
      <c r="J108" s="87">
        <v>24510</v>
      </c>
      <c r="K108" s="87">
        <v>40020</v>
      </c>
      <c r="L108" s="87">
        <v>15510</v>
      </c>
      <c r="M108" s="87" t="s">
        <v>116</v>
      </c>
    </row>
    <row r="109" spans="1:13" ht="15.6" thickTop="1" thickBot="1" x14ac:dyDescent="0.35">
      <c r="A109" s="85">
        <v>45384</v>
      </c>
      <c r="B109" s="86" t="s">
        <v>219</v>
      </c>
      <c r="C109" s="86" t="s">
        <v>139</v>
      </c>
      <c r="D109" s="86" t="s">
        <v>220</v>
      </c>
      <c r="E109" s="86" t="s">
        <v>137</v>
      </c>
      <c r="F109" s="86" t="s">
        <v>123</v>
      </c>
      <c r="G109" s="86">
        <v>25</v>
      </c>
      <c r="H109" s="86">
        <v>952</v>
      </c>
      <c r="I109" s="86">
        <v>1261</v>
      </c>
      <c r="J109" s="87">
        <v>23800</v>
      </c>
      <c r="K109" s="87">
        <v>31525</v>
      </c>
      <c r="L109" s="87">
        <v>7725</v>
      </c>
      <c r="M109" s="87" t="s">
        <v>116</v>
      </c>
    </row>
    <row r="110" spans="1:13" ht="15.6" thickTop="1" thickBot="1" x14ac:dyDescent="0.35">
      <c r="A110" s="85">
        <v>45384</v>
      </c>
      <c r="B110" s="86" t="s">
        <v>219</v>
      </c>
      <c r="C110" s="86" t="s">
        <v>139</v>
      </c>
      <c r="D110" s="86" t="s">
        <v>220</v>
      </c>
      <c r="E110" s="86" t="s">
        <v>137</v>
      </c>
      <c r="F110" s="86" t="s">
        <v>123</v>
      </c>
      <c r="G110" s="86">
        <v>30</v>
      </c>
      <c r="H110" s="86">
        <v>719</v>
      </c>
      <c r="I110" s="86">
        <v>1162</v>
      </c>
      <c r="J110" s="87">
        <v>21570</v>
      </c>
      <c r="K110" s="87">
        <v>34860</v>
      </c>
      <c r="L110" s="87">
        <v>13290</v>
      </c>
      <c r="M110" s="87" t="s">
        <v>116</v>
      </c>
    </row>
    <row r="111" spans="1:13" ht="15.6" thickTop="1" thickBot="1" x14ac:dyDescent="0.35">
      <c r="A111" s="85">
        <v>45682</v>
      </c>
      <c r="B111" s="86" t="s">
        <v>194</v>
      </c>
      <c r="C111" s="86" t="s">
        <v>109</v>
      </c>
      <c r="D111" s="86" t="s">
        <v>131</v>
      </c>
      <c r="E111" s="86" t="s">
        <v>120</v>
      </c>
      <c r="F111" s="86" t="s">
        <v>112</v>
      </c>
      <c r="G111" s="86">
        <v>13</v>
      </c>
      <c r="H111" s="86">
        <v>542</v>
      </c>
      <c r="I111" s="86">
        <v>853</v>
      </c>
      <c r="J111" s="87">
        <v>7046</v>
      </c>
      <c r="K111" s="87">
        <v>11089</v>
      </c>
      <c r="L111" s="87">
        <v>4043</v>
      </c>
      <c r="M111" s="87" t="s">
        <v>116</v>
      </c>
    </row>
    <row r="112" spans="1:13" ht="15.6" thickTop="1" thickBot="1" x14ac:dyDescent="0.35">
      <c r="A112" s="85">
        <v>45682</v>
      </c>
      <c r="B112" s="86" t="s">
        <v>194</v>
      </c>
      <c r="C112" s="86" t="s">
        <v>109</v>
      </c>
      <c r="D112" s="86" t="s">
        <v>131</v>
      </c>
      <c r="E112" s="86" t="s">
        <v>120</v>
      </c>
      <c r="F112" s="86" t="s">
        <v>112</v>
      </c>
      <c r="G112" s="86">
        <v>18</v>
      </c>
      <c r="H112" s="86">
        <v>587</v>
      </c>
      <c r="I112" s="86">
        <v>905</v>
      </c>
      <c r="J112" s="87">
        <v>10566</v>
      </c>
      <c r="K112" s="87">
        <v>16290</v>
      </c>
      <c r="L112" s="87">
        <v>5724</v>
      </c>
      <c r="M112" s="87" t="s">
        <v>116</v>
      </c>
    </row>
    <row r="113" spans="1:13" ht="15.6" thickTop="1" thickBot="1" x14ac:dyDescent="0.35">
      <c r="A113" s="85">
        <v>45682</v>
      </c>
      <c r="B113" s="86" t="s">
        <v>194</v>
      </c>
      <c r="C113" s="86" t="s">
        <v>109</v>
      </c>
      <c r="D113" s="86" t="s">
        <v>131</v>
      </c>
      <c r="E113" s="86" t="s">
        <v>120</v>
      </c>
      <c r="F113" s="86" t="s">
        <v>112</v>
      </c>
      <c r="G113" s="86">
        <v>19</v>
      </c>
      <c r="H113" s="86">
        <v>795</v>
      </c>
      <c r="I113" s="86">
        <v>1471</v>
      </c>
      <c r="J113" s="87">
        <v>15105</v>
      </c>
      <c r="K113" s="87">
        <v>27949</v>
      </c>
      <c r="L113" s="87">
        <v>12844</v>
      </c>
      <c r="M113" s="87" t="s">
        <v>116</v>
      </c>
    </row>
    <row r="114" spans="1:13" ht="15.6" thickTop="1" thickBot="1" x14ac:dyDescent="0.35">
      <c r="A114" s="85">
        <v>45522</v>
      </c>
      <c r="B114" s="86" t="s">
        <v>194</v>
      </c>
      <c r="C114" s="86" t="s">
        <v>139</v>
      </c>
      <c r="D114" s="86" t="s">
        <v>205</v>
      </c>
      <c r="E114" s="86" t="s">
        <v>129</v>
      </c>
      <c r="F114" s="86" t="s">
        <v>123</v>
      </c>
      <c r="G114" s="86">
        <v>22</v>
      </c>
      <c r="H114" s="86">
        <v>681</v>
      </c>
      <c r="I114" s="86">
        <v>1087</v>
      </c>
      <c r="J114" s="87">
        <v>14982</v>
      </c>
      <c r="K114" s="87">
        <v>23914</v>
      </c>
      <c r="L114" s="87">
        <v>8932</v>
      </c>
      <c r="M114" s="87" t="s">
        <v>116</v>
      </c>
    </row>
    <row r="115" spans="1:13" ht="15.6" thickTop="1" thickBot="1" x14ac:dyDescent="0.35">
      <c r="A115" s="85">
        <v>45522</v>
      </c>
      <c r="B115" s="86" t="s">
        <v>194</v>
      </c>
      <c r="C115" s="86" t="s">
        <v>139</v>
      </c>
      <c r="D115" s="86" t="s">
        <v>205</v>
      </c>
      <c r="E115" s="86" t="s">
        <v>129</v>
      </c>
      <c r="F115" s="86" t="s">
        <v>123</v>
      </c>
      <c r="G115" s="86">
        <v>22</v>
      </c>
      <c r="H115" s="86">
        <v>806</v>
      </c>
      <c r="I115" s="86">
        <v>1391</v>
      </c>
      <c r="J115" s="87">
        <v>17732</v>
      </c>
      <c r="K115" s="87">
        <v>30602</v>
      </c>
      <c r="L115" s="87">
        <v>12870</v>
      </c>
      <c r="M115" s="87" t="s">
        <v>116</v>
      </c>
    </row>
    <row r="116" spans="1:13" ht="15.6" thickTop="1" thickBot="1" x14ac:dyDescent="0.35">
      <c r="A116" s="85">
        <v>45522</v>
      </c>
      <c r="B116" s="86" t="s">
        <v>194</v>
      </c>
      <c r="C116" s="86" t="s">
        <v>139</v>
      </c>
      <c r="D116" s="86" t="s">
        <v>205</v>
      </c>
      <c r="E116" s="86" t="s">
        <v>129</v>
      </c>
      <c r="F116" s="86" t="s">
        <v>123</v>
      </c>
      <c r="G116" s="86">
        <v>29</v>
      </c>
      <c r="H116" s="86">
        <v>872</v>
      </c>
      <c r="I116" s="86">
        <v>1351</v>
      </c>
      <c r="J116" s="87">
        <v>25288</v>
      </c>
      <c r="K116" s="87">
        <v>39179</v>
      </c>
      <c r="L116" s="87">
        <v>13891</v>
      </c>
      <c r="M116" s="87" t="s">
        <v>116</v>
      </c>
    </row>
    <row r="117" spans="1:13" ht="15.6" thickTop="1" thickBot="1" x14ac:dyDescent="0.35">
      <c r="A117" s="85">
        <v>45622</v>
      </c>
      <c r="B117" s="86" t="s">
        <v>312</v>
      </c>
      <c r="C117" s="86" t="s">
        <v>139</v>
      </c>
      <c r="D117" s="86" t="s">
        <v>154</v>
      </c>
      <c r="E117" s="86" t="s">
        <v>145</v>
      </c>
      <c r="F117" s="86" t="s">
        <v>112</v>
      </c>
      <c r="G117" s="86">
        <v>21</v>
      </c>
      <c r="H117" s="86">
        <v>978</v>
      </c>
      <c r="I117" s="86">
        <v>1139</v>
      </c>
      <c r="J117" s="87">
        <v>20538</v>
      </c>
      <c r="K117" s="87">
        <v>23919</v>
      </c>
      <c r="L117" s="87">
        <v>3381</v>
      </c>
      <c r="M117" s="87" t="s">
        <v>116</v>
      </c>
    </row>
    <row r="118" spans="1:13" ht="15.6" thickTop="1" thickBot="1" x14ac:dyDescent="0.35">
      <c r="A118" s="85">
        <v>45622</v>
      </c>
      <c r="B118" s="86" t="s">
        <v>312</v>
      </c>
      <c r="C118" s="86" t="s">
        <v>139</v>
      </c>
      <c r="D118" s="86" t="s">
        <v>154</v>
      </c>
      <c r="E118" s="86" t="s">
        <v>145</v>
      </c>
      <c r="F118" s="86" t="s">
        <v>112</v>
      </c>
      <c r="G118" s="86">
        <v>30</v>
      </c>
      <c r="H118" s="86">
        <v>651</v>
      </c>
      <c r="I118" s="86">
        <v>1277</v>
      </c>
      <c r="J118" s="87">
        <v>19530</v>
      </c>
      <c r="K118" s="87">
        <v>38310</v>
      </c>
      <c r="L118" s="87">
        <v>18780</v>
      </c>
      <c r="M118" s="87" t="s">
        <v>116</v>
      </c>
    </row>
    <row r="119" spans="1:13" ht="15.6" thickTop="1" thickBot="1" x14ac:dyDescent="0.35">
      <c r="A119" s="85">
        <v>45622</v>
      </c>
      <c r="B119" s="86" t="s">
        <v>312</v>
      </c>
      <c r="C119" s="86" t="s">
        <v>139</v>
      </c>
      <c r="D119" s="86" t="s">
        <v>154</v>
      </c>
      <c r="E119" s="86" t="s">
        <v>145</v>
      </c>
      <c r="F119" s="86" t="s">
        <v>112</v>
      </c>
      <c r="G119" s="86">
        <v>22</v>
      </c>
      <c r="H119" s="86">
        <v>524</v>
      </c>
      <c r="I119" s="86">
        <v>1147</v>
      </c>
      <c r="J119" s="87">
        <v>11528</v>
      </c>
      <c r="K119" s="87">
        <v>25234</v>
      </c>
      <c r="L119" s="87">
        <v>13706</v>
      </c>
      <c r="M119" s="87" t="s">
        <v>116</v>
      </c>
    </row>
    <row r="120" spans="1:13" ht="15.6" thickTop="1" thickBot="1" x14ac:dyDescent="0.35">
      <c r="A120" s="85">
        <v>45653</v>
      </c>
      <c r="B120" s="86" t="s">
        <v>298</v>
      </c>
      <c r="C120" s="86" t="s">
        <v>127</v>
      </c>
      <c r="D120" s="86" t="s">
        <v>207</v>
      </c>
      <c r="E120" s="86" t="s">
        <v>115</v>
      </c>
      <c r="F120" s="86" t="s">
        <v>123</v>
      </c>
      <c r="G120" s="86">
        <v>59</v>
      </c>
      <c r="H120" s="86">
        <v>774</v>
      </c>
      <c r="I120" s="86">
        <v>1374</v>
      </c>
      <c r="J120" s="87">
        <v>45666</v>
      </c>
      <c r="K120" s="87">
        <v>81066</v>
      </c>
      <c r="L120" s="87">
        <v>35400</v>
      </c>
      <c r="M120" s="87" t="s">
        <v>116</v>
      </c>
    </row>
    <row r="121" spans="1:13" ht="15.6" thickTop="1" thickBot="1" x14ac:dyDescent="0.35">
      <c r="A121" s="85">
        <v>45609</v>
      </c>
      <c r="B121" s="86" t="s">
        <v>299</v>
      </c>
      <c r="C121" s="86" t="s">
        <v>139</v>
      </c>
      <c r="D121" s="86" t="s">
        <v>154</v>
      </c>
      <c r="E121" s="86" t="s">
        <v>166</v>
      </c>
      <c r="F121" s="86" t="s">
        <v>123</v>
      </c>
      <c r="G121" s="86">
        <v>23</v>
      </c>
      <c r="H121" s="86">
        <v>584</v>
      </c>
      <c r="I121" s="86">
        <v>1140</v>
      </c>
      <c r="J121" s="87">
        <v>13432</v>
      </c>
      <c r="K121" s="87">
        <v>26220</v>
      </c>
      <c r="L121" s="87">
        <v>12788</v>
      </c>
      <c r="M121" s="87" t="s">
        <v>116</v>
      </c>
    </row>
    <row r="122" spans="1:13" ht="15.6" thickTop="1" thickBot="1" x14ac:dyDescent="0.35">
      <c r="A122" s="85">
        <v>45609</v>
      </c>
      <c r="B122" s="86" t="s">
        <v>299</v>
      </c>
      <c r="C122" s="86" t="s">
        <v>139</v>
      </c>
      <c r="D122" s="86" t="s">
        <v>154</v>
      </c>
      <c r="E122" s="86" t="s">
        <v>166</v>
      </c>
      <c r="F122" s="86" t="s">
        <v>123</v>
      </c>
      <c r="G122" s="86">
        <v>28</v>
      </c>
      <c r="H122" s="86">
        <v>896</v>
      </c>
      <c r="I122" s="86">
        <v>1363</v>
      </c>
      <c r="J122" s="87">
        <v>25088</v>
      </c>
      <c r="K122" s="87">
        <v>38164</v>
      </c>
      <c r="L122" s="87">
        <v>13076</v>
      </c>
      <c r="M122" s="87" t="s">
        <v>116</v>
      </c>
    </row>
    <row r="123" spans="1:13" ht="15.6" thickTop="1" thickBot="1" x14ac:dyDescent="0.35">
      <c r="A123" s="85">
        <v>45609</v>
      </c>
      <c r="B123" s="86" t="s">
        <v>299</v>
      </c>
      <c r="C123" s="86" t="s">
        <v>139</v>
      </c>
      <c r="D123" s="86" t="s">
        <v>154</v>
      </c>
      <c r="E123" s="86" t="s">
        <v>166</v>
      </c>
      <c r="F123" s="86" t="s">
        <v>123</v>
      </c>
      <c r="G123" s="86">
        <v>25</v>
      </c>
      <c r="H123" s="86">
        <v>709</v>
      </c>
      <c r="I123" s="86">
        <v>1386</v>
      </c>
      <c r="J123" s="87">
        <v>17725</v>
      </c>
      <c r="K123" s="87">
        <v>34650</v>
      </c>
      <c r="L123" s="87">
        <v>16925</v>
      </c>
      <c r="M123" s="87" t="s">
        <v>116</v>
      </c>
    </row>
    <row r="124" spans="1:13" ht="15.6" thickTop="1" thickBot="1" x14ac:dyDescent="0.35">
      <c r="A124" s="85">
        <v>45581</v>
      </c>
      <c r="B124" s="86" t="s">
        <v>179</v>
      </c>
      <c r="C124" s="86" t="s">
        <v>109</v>
      </c>
      <c r="D124" s="86" t="s">
        <v>131</v>
      </c>
      <c r="E124" s="86" t="s">
        <v>120</v>
      </c>
      <c r="F124" s="80" t="s">
        <v>123</v>
      </c>
      <c r="G124" s="86">
        <v>16</v>
      </c>
      <c r="H124" s="80">
        <v>935</v>
      </c>
      <c r="I124" s="86">
        <v>980</v>
      </c>
      <c r="J124" s="87">
        <v>14960</v>
      </c>
      <c r="K124" s="87">
        <v>15680</v>
      </c>
      <c r="L124" s="87">
        <v>720</v>
      </c>
      <c r="M124" s="87" t="s">
        <v>116</v>
      </c>
    </row>
    <row r="125" spans="1:13" ht="15.6" thickTop="1" thickBot="1" x14ac:dyDescent="0.35">
      <c r="A125" s="85">
        <v>45581</v>
      </c>
      <c r="B125" s="86" t="s">
        <v>179</v>
      </c>
      <c r="C125" s="86" t="s">
        <v>109</v>
      </c>
      <c r="D125" s="86" t="s">
        <v>131</v>
      </c>
      <c r="E125" s="86" t="s">
        <v>120</v>
      </c>
      <c r="F125" s="86" t="s">
        <v>123</v>
      </c>
      <c r="G125" s="86">
        <v>20</v>
      </c>
      <c r="H125" s="86">
        <v>780</v>
      </c>
      <c r="I125" s="86">
        <v>783</v>
      </c>
      <c r="J125" s="87">
        <v>15600</v>
      </c>
      <c r="K125" s="87">
        <v>15660</v>
      </c>
      <c r="L125" s="87">
        <v>60</v>
      </c>
      <c r="M125" s="87" t="s">
        <v>116</v>
      </c>
    </row>
    <row r="126" spans="1:13" ht="15.6" thickTop="1" thickBot="1" x14ac:dyDescent="0.35">
      <c r="A126" s="85">
        <v>45634</v>
      </c>
      <c r="B126" s="86" t="s">
        <v>281</v>
      </c>
      <c r="C126" s="86" t="s">
        <v>139</v>
      </c>
      <c r="D126" s="86" t="s">
        <v>205</v>
      </c>
      <c r="E126" s="86" t="s">
        <v>240</v>
      </c>
      <c r="F126" s="86" t="s">
        <v>123</v>
      </c>
      <c r="G126" s="86">
        <v>23</v>
      </c>
      <c r="H126" s="86">
        <v>771</v>
      </c>
      <c r="I126" s="86">
        <v>1430</v>
      </c>
      <c r="J126" s="87">
        <v>17733</v>
      </c>
      <c r="K126" s="87">
        <v>32890</v>
      </c>
      <c r="L126" s="87">
        <v>15157</v>
      </c>
      <c r="M126" s="87" t="s">
        <v>116</v>
      </c>
    </row>
    <row r="127" spans="1:13" ht="15.6" thickTop="1" thickBot="1" x14ac:dyDescent="0.35">
      <c r="A127" s="85">
        <v>45422</v>
      </c>
      <c r="B127" s="86" t="s">
        <v>254</v>
      </c>
      <c r="C127" s="86" t="s">
        <v>139</v>
      </c>
      <c r="D127" s="86" t="s">
        <v>205</v>
      </c>
      <c r="E127" s="86" t="s">
        <v>166</v>
      </c>
      <c r="F127" s="86" t="s">
        <v>112</v>
      </c>
      <c r="G127" s="86">
        <v>25</v>
      </c>
      <c r="H127" s="86">
        <v>982</v>
      </c>
      <c r="I127" s="86">
        <v>1395</v>
      </c>
      <c r="J127" s="87">
        <v>24550</v>
      </c>
      <c r="K127" s="87">
        <v>34875</v>
      </c>
      <c r="L127" s="87">
        <v>10325</v>
      </c>
      <c r="M127" s="87" t="s">
        <v>116</v>
      </c>
    </row>
    <row r="128" spans="1:13" ht="15.6" thickTop="1" thickBot="1" x14ac:dyDescent="0.35">
      <c r="A128" s="85">
        <v>45422</v>
      </c>
      <c r="B128" s="86" t="s">
        <v>254</v>
      </c>
      <c r="C128" s="86" t="s">
        <v>139</v>
      </c>
      <c r="D128" s="86" t="s">
        <v>205</v>
      </c>
      <c r="E128" s="86" t="s">
        <v>166</v>
      </c>
      <c r="F128" s="86" t="s">
        <v>112</v>
      </c>
      <c r="G128" s="86">
        <v>28</v>
      </c>
      <c r="H128" s="86">
        <v>905</v>
      </c>
      <c r="I128" s="86">
        <v>958</v>
      </c>
      <c r="J128" s="87">
        <v>25340</v>
      </c>
      <c r="K128" s="87">
        <v>26824</v>
      </c>
      <c r="L128" s="87">
        <v>1484</v>
      </c>
      <c r="M128" s="87" t="s">
        <v>116</v>
      </c>
    </row>
    <row r="129" spans="1:13" ht="15.6" thickTop="1" thickBot="1" x14ac:dyDescent="0.35">
      <c r="A129" s="85">
        <v>45422</v>
      </c>
      <c r="B129" s="86" t="s">
        <v>254</v>
      </c>
      <c r="C129" s="86" t="s">
        <v>139</v>
      </c>
      <c r="D129" s="86" t="s">
        <v>205</v>
      </c>
      <c r="E129" s="86" t="s">
        <v>166</v>
      </c>
      <c r="F129" s="86" t="s">
        <v>112</v>
      </c>
      <c r="G129" s="86">
        <v>21</v>
      </c>
      <c r="H129" s="86">
        <v>781</v>
      </c>
      <c r="I129" s="86">
        <v>816</v>
      </c>
      <c r="J129" s="87">
        <v>16401</v>
      </c>
      <c r="K129" s="87">
        <v>17136</v>
      </c>
      <c r="L129" s="87">
        <v>735</v>
      </c>
      <c r="M129" s="87" t="s">
        <v>116</v>
      </c>
    </row>
    <row r="130" spans="1:13" ht="15.6" thickTop="1" thickBot="1" x14ac:dyDescent="0.35">
      <c r="A130" s="85">
        <v>45456</v>
      </c>
      <c r="B130" s="86" t="s">
        <v>117</v>
      </c>
      <c r="C130" s="86" t="s">
        <v>109</v>
      </c>
      <c r="D130" s="86" t="s">
        <v>110</v>
      </c>
      <c r="E130" s="86" t="s">
        <v>118</v>
      </c>
      <c r="F130" s="86" t="s">
        <v>112</v>
      </c>
      <c r="G130" s="86">
        <v>20</v>
      </c>
      <c r="H130" s="86">
        <v>731</v>
      </c>
      <c r="I130" s="86">
        <v>1186</v>
      </c>
      <c r="J130" s="87">
        <v>14620</v>
      </c>
      <c r="K130" s="87">
        <v>23720</v>
      </c>
      <c r="L130" s="87">
        <v>9100</v>
      </c>
      <c r="M130" s="87" t="s">
        <v>116</v>
      </c>
    </row>
    <row r="131" spans="1:13" ht="15.6" thickTop="1" thickBot="1" x14ac:dyDescent="0.35">
      <c r="A131" s="85">
        <v>45456</v>
      </c>
      <c r="B131" s="86" t="s">
        <v>117</v>
      </c>
      <c r="C131" s="86" t="s">
        <v>109</v>
      </c>
      <c r="D131" s="86" t="s">
        <v>110</v>
      </c>
      <c r="E131" s="86" t="s">
        <v>118</v>
      </c>
      <c r="F131" s="86" t="s">
        <v>112</v>
      </c>
      <c r="G131" s="86">
        <v>11</v>
      </c>
      <c r="H131" s="86">
        <v>774</v>
      </c>
      <c r="I131" s="86">
        <v>1363</v>
      </c>
      <c r="J131" s="87">
        <v>8514</v>
      </c>
      <c r="K131" s="87">
        <v>14993</v>
      </c>
      <c r="L131" s="87">
        <v>6479</v>
      </c>
      <c r="M131" s="87" t="s">
        <v>116</v>
      </c>
    </row>
    <row r="132" spans="1:13" ht="15.6" thickTop="1" thickBot="1" x14ac:dyDescent="0.35">
      <c r="A132" s="85">
        <v>45456</v>
      </c>
      <c r="B132" s="86" t="s">
        <v>117</v>
      </c>
      <c r="C132" s="86" t="s">
        <v>109</v>
      </c>
      <c r="D132" s="86" t="s">
        <v>110</v>
      </c>
      <c r="E132" s="86" t="s">
        <v>118</v>
      </c>
      <c r="F132" s="86" t="s">
        <v>112</v>
      </c>
      <c r="G132" s="86">
        <v>19</v>
      </c>
      <c r="H132" s="86">
        <v>982</v>
      </c>
      <c r="I132" s="86">
        <v>1457</v>
      </c>
      <c r="J132" s="87">
        <v>18658</v>
      </c>
      <c r="K132" s="87">
        <v>27683</v>
      </c>
      <c r="L132" s="87">
        <v>9025</v>
      </c>
      <c r="M132" s="87" t="s">
        <v>116</v>
      </c>
    </row>
    <row r="133" spans="1:13" ht="15.6" thickTop="1" thickBot="1" x14ac:dyDescent="0.35">
      <c r="A133" s="85">
        <v>45548</v>
      </c>
      <c r="B133" s="86" t="s">
        <v>167</v>
      </c>
      <c r="C133" s="86" t="s">
        <v>109</v>
      </c>
      <c r="D133" s="86" t="s">
        <v>131</v>
      </c>
      <c r="E133" s="86" t="s">
        <v>168</v>
      </c>
      <c r="F133" s="86" t="s">
        <v>112</v>
      </c>
      <c r="G133" s="86">
        <v>14</v>
      </c>
      <c r="H133" s="86">
        <v>968</v>
      </c>
      <c r="I133" s="86">
        <v>1419</v>
      </c>
      <c r="J133" s="87">
        <v>13552</v>
      </c>
      <c r="K133" s="87">
        <v>19866</v>
      </c>
      <c r="L133" s="87">
        <v>6314</v>
      </c>
      <c r="M133" s="87" t="s">
        <v>116</v>
      </c>
    </row>
    <row r="134" spans="1:13" ht="15.6" thickTop="1" thickBot="1" x14ac:dyDescent="0.35">
      <c r="A134" s="85">
        <v>45548</v>
      </c>
      <c r="B134" s="86" t="s">
        <v>167</v>
      </c>
      <c r="C134" s="86" t="s">
        <v>109</v>
      </c>
      <c r="D134" s="86" t="s">
        <v>131</v>
      </c>
      <c r="E134" s="86" t="s">
        <v>168</v>
      </c>
      <c r="F134" s="86" t="s">
        <v>112</v>
      </c>
      <c r="G134" s="86">
        <v>14</v>
      </c>
      <c r="H134" s="86">
        <v>933</v>
      </c>
      <c r="I134" s="86">
        <v>1064</v>
      </c>
      <c r="J134" s="87">
        <v>13062</v>
      </c>
      <c r="K134" s="87">
        <v>14896</v>
      </c>
      <c r="L134" s="87">
        <v>1834</v>
      </c>
      <c r="M134" s="87" t="s">
        <v>116</v>
      </c>
    </row>
    <row r="135" spans="1:13" ht="15.6" thickTop="1" thickBot="1" x14ac:dyDescent="0.35">
      <c r="A135" s="85">
        <v>45691</v>
      </c>
      <c r="B135" s="86" t="s">
        <v>326</v>
      </c>
      <c r="C135" s="86" t="s">
        <v>139</v>
      </c>
      <c r="D135" s="86" t="s">
        <v>205</v>
      </c>
      <c r="E135" s="86" t="s">
        <v>242</v>
      </c>
      <c r="F135" s="86" t="s">
        <v>112</v>
      </c>
      <c r="G135" s="86">
        <v>23</v>
      </c>
      <c r="H135" s="86">
        <v>570</v>
      </c>
      <c r="I135" s="86">
        <v>1230</v>
      </c>
      <c r="J135" s="87">
        <v>13110</v>
      </c>
      <c r="K135" s="87">
        <v>28290</v>
      </c>
      <c r="L135" s="87">
        <v>15180</v>
      </c>
      <c r="M135" s="87" t="s">
        <v>116</v>
      </c>
    </row>
    <row r="136" spans="1:13" ht="15.6" thickTop="1" thickBot="1" x14ac:dyDescent="0.35">
      <c r="A136" s="85">
        <v>45691</v>
      </c>
      <c r="B136" s="86" t="s">
        <v>326</v>
      </c>
      <c r="C136" s="86" t="s">
        <v>139</v>
      </c>
      <c r="D136" s="86" t="s">
        <v>205</v>
      </c>
      <c r="E136" s="86" t="s">
        <v>242</v>
      </c>
      <c r="F136" s="86" t="s">
        <v>112</v>
      </c>
      <c r="G136" s="86">
        <v>30</v>
      </c>
      <c r="H136" s="86">
        <v>946</v>
      </c>
      <c r="I136" s="86">
        <v>1089</v>
      </c>
      <c r="J136" s="87">
        <v>28380</v>
      </c>
      <c r="K136" s="87">
        <v>32670</v>
      </c>
      <c r="L136" s="87">
        <v>4290</v>
      </c>
      <c r="M136" s="87" t="s">
        <v>116</v>
      </c>
    </row>
    <row r="137" spans="1:13" ht="15.6" thickTop="1" thickBot="1" x14ac:dyDescent="0.35">
      <c r="A137" s="85">
        <v>45564</v>
      </c>
      <c r="B137" s="91" t="s">
        <v>174</v>
      </c>
      <c r="C137" s="86" t="s">
        <v>109</v>
      </c>
      <c r="D137" s="86" t="s">
        <v>110</v>
      </c>
      <c r="E137" s="86" t="s">
        <v>133</v>
      </c>
      <c r="F137" s="86" t="s">
        <v>112</v>
      </c>
      <c r="G137" s="86">
        <v>13</v>
      </c>
      <c r="H137" s="86">
        <v>762</v>
      </c>
      <c r="I137" s="86">
        <v>1311</v>
      </c>
      <c r="J137" s="87">
        <v>9906</v>
      </c>
      <c r="K137" s="87">
        <v>17043</v>
      </c>
      <c r="L137" s="87">
        <v>7137</v>
      </c>
      <c r="M137" s="87" t="s">
        <v>116</v>
      </c>
    </row>
    <row r="138" spans="1:13" ht="15.6" thickTop="1" thickBot="1" x14ac:dyDescent="0.35">
      <c r="A138" s="85">
        <v>45564</v>
      </c>
      <c r="B138" s="86" t="s">
        <v>174</v>
      </c>
      <c r="C138" s="86" t="s">
        <v>109</v>
      </c>
      <c r="D138" s="86" t="s">
        <v>110</v>
      </c>
      <c r="E138" s="86" t="s">
        <v>133</v>
      </c>
      <c r="F138" s="86" t="s">
        <v>112</v>
      </c>
      <c r="G138" s="86">
        <v>10</v>
      </c>
      <c r="H138" s="86">
        <v>917</v>
      </c>
      <c r="I138" s="86">
        <v>1107</v>
      </c>
      <c r="J138" s="87">
        <v>9170</v>
      </c>
      <c r="K138" s="87">
        <v>11070</v>
      </c>
      <c r="L138" s="87">
        <v>1900</v>
      </c>
      <c r="M138" s="87" t="s">
        <v>116</v>
      </c>
    </row>
    <row r="139" spans="1:13" ht="15.6" thickTop="1" thickBot="1" x14ac:dyDescent="0.35">
      <c r="A139" s="85">
        <v>45564</v>
      </c>
      <c r="B139" s="86" t="s">
        <v>174</v>
      </c>
      <c r="C139" s="86" t="s">
        <v>109</v>
      </c>
      <c r="D139" s="86" t="s">
        <v>110</v>
      </c>
      <c r="E139" s="86" t="s">
        <v>133</v>
      </c>
      <c r="F139" s="86" t="s">
        <v>112</v>
      </c>
      <c r="G139" s="86">
        <v>12</v>
      </c>
      <c r="H139" s="86">
        <v>827</v>
      </c>
      <c r="I139" s="86">
        <v>955</v>
      </c>
      <c r="J139" s="87">
        <v>9924</v>
      </c>
      <c r="K139" s="87">
        <v>11460</v>
      </c>
      <c r="L139" s="87">
        <v>1536</v>
      </c>
      <c r="M139" s="87" t="s">
        <v>116</v>
      </c>
    </row>
    <row r="140" spans="1:13" ht="15.6" thickTop="1" thickBot="1" x14ac:dyDescent="0.35">
      <c r="A140" s="85">
        <v>45480</v>
      </c>
      <c r="B140" s="86" t="s">
        <v>144</v>
      </c>
      <c r="C140" s="86" t="s">
        <v>109</v>
      </c>
      <c r="D140" s="86" t="s">
        <v>131</v>
      </c>
      <c r="E140" s="91" t="s">
        <v>145</v>
      </c>
      <c r="F140" s="86" t="s">
        <v>123</v>
      </c>
      <c r="G140" s="91">
        <v>17</v>
      </c>
      <c r="H140" s="86">
        <v>748</v>
      </c>
      <c r="I140" s="86">
        <v>1138</v>
      </c>
      <c r="J140" s="87">
        <v>12716</v>
      </c>
      <c r="K140" s="87">
        <v>19346</v>
      </c>
      <c r="L140" s="87">
        <v>6630</v>
      </c>
      <c r="M140" s="87" t="s">
        <v>116</v>
      </c>
    </row>
    <row r="141" spans="1:13" ht="15.6" thickTop="1" thickBot="1" x14ac:dyDescent="0.35">
      <c r="A141" s="85">
        <v>45480</v>
      </c>
      <c r="B141" s="86" t="s">
        <v>144</v>
      </c>
      <c r="C141" s="86" t="s">
        <v>109</v>
      </c>
      <c r="D141" s="86" t="s">
        <v>131</v>
      </c>
      <c r="E141" s="86" t="s">
        <v>145</v>
      </c>
      <c r="F141" s="86" t="s">
        <v>123</v>
      </c>
      <c r="G141" s="86">
        <v>16</v>
      </c>
      <c r="H141" s="86">
        <v>673</v>
      </c>
      <c r="I141" s="86">
        <v>1233</v>
      </c>
      <c r="J141" s="87">
        <v>10768</v>
      </c>
      <c r="K141" s="87">
        <v>19728</v>
      </c>
      <c r="L141" s="87">
        <v>8960</v>
      </c>
      <c r="M141" s="87" t="s">
        <v>116</v>
      </c>
    </row>
    <row r="142" spans="1:13" ht="15.6" thickTop="1" thickBot="1" x14ac:dyDescent="0.35">
      <c r="A142" s="85">
        <v>45699</v>
      </c>
      <c r="B142" s="86" t="s">
        <v>335</v>
      </c>
      <c r="C142" s="86" t="s">
        <v>139</v>
      </c>
      <c r="D142" s="86" t="s">
        <v>205</v>
      </c>
      <c r="E142" s="86" t="s">
        <v>129</v>
      </c>
      <c r="F142" s="86" t="s">
        <v>112</v>
      </c>
      <c r="G142" s="86">
        <v>28</v>
      </c>
      <c r="H142" s="86">
        <v>708</v>
      </c>
      <c r="I142" s="86">
        <v>1358</v>
      </c>
      <c r="J142" s="87">
        <v>19824</v>
      </c>
      <c r="K142" s="87">
        <v>38024</v>
      </c>
      <c r="L142" s="87">
        <v>18200</v>
      </c>
      <c r="M142" s="87" t="s">
        <v>116</v>
      </c>
    </row>
    <row r="143" spans="1:13" ht="15.6" thickTop="1" thickBot="1" x14ac:dyDescent="0.35">
      <c r="A143" s="85">
        <v>45699</v>
      </c>
      <c r="B143" s="86" t="s">
        <v>335</v>
      </c>
      <c r="C143" s="86" t="s">
        <v>139</v>
      </c>
      <c r="D143" s="86" t="s">
        <v>205</v>
      </c>
      <c r="E143" s="86" t="s">
        <v>129</v>
      </c>
      <c r="F143" s="86" t="s">
        <v>112</v>
      </c>
      <c r="G143" s="86">
        <v>29</v>
      </c>
      <c r="H143" s="86">
        <v>623</v>
      </c>
      <c r="I143" s="86">
        <v>919</v>
      </c>
      <c r="J143" s="87">
        <v>18067</v>
      </c>
      <c r="K143" s="87">
        <v>26651</v>
      </c>
      <c r="L143" s="87">
        <v>8584</v>
      </c>
      <c r="M143" s="87" t="s">
        <v>116</v>
      </c>
    </row>
    <row r="144" spans="1:13" ht="15.6" thickTop="1" thickBot="1" x14ac:dyDescent="0.35">
      <c r="A144" s="85">
        <v>45409</v>
      </c>
      <c r="B144" s="90" t="s">
        <v>236</v>
      </c>
      <c r="C144" s="86" t="s">
        <v>139</v>
      </c>
      <c r="D144" s="86" t="s">
        <v>154</v>
      </c>
      <c r="E144" s="86" t="s">
        <v>125</v>
      </c>
      <c r="F144" s="86" t="s">
        <v>112</v>
      </c>
      <c r="G144" s="86">
        <v>26</v>
      </c>
      <c r="H144" s="86">
        <v>505</v>
      </c>
      <c r="I144" s="86">
        <v>1337</v>
      </c>
      <c r="J144" s="87">
        <v>13130</v>
      </c>
      <c r="K144" s="87">
        <v>34762</v>
      </c>
      <c r="L144" s="87">
        <v>21632</v>
      </c>
      <c r="M144" s="87" t="s">
        <v>116</v>
      </c>
    </row>
    <row r="145" spans="1:13" ht="15.6" thickTop="1" thickBot="1" x14ac:dyDescent="0.35">
      <c r="A145" s="85">
        <v>45409</v>
      </c>
      <c r="B145" s="86" t="s">
        <v>236</v>
      </c>
      <c r="C145" s="86" t="s">
        <v>139</v>
      </c>
      <c r="D145" s="86" t="s">
        <v>154</v>
      </c>
      <c r="E145" s="86" t="s">
        <v>125</v>
      </c>
      <c r="F145" s="86" t="s">
        <v>112</v>
      </c>
      <c r="G145" s="86">
        <v>26</v>
      </c>
      <c r="H145" s="86">
        <v>983</v>
      </c>
      <c r="I145" s="86">
        <v>1270</v>
      </c>
      <c r="J145" s="87">
        <v>25558</v>
      </c>
      <c r="K145" s="87">
        <v>33020</v>
      </c>
      <c r="L145" s="87">
        <v>7462</v>
      </c>
      <c r="M145" s="87" t="s">
        <v>116</v>
      </c>
    </row>
    <row r="146" spans="1:13" ht="15.6" thickTop="1" thickBot="1" x14ac:dyDescent="0.35">
      <c r="A146" s="85">
        <v>45409</v>
      </c>
      <c r="B146" s="86" t="s">
        <v>236</v>
      </c>
      <c r="C146" s="86" t="s">
        <v>139</v>
      </c>
      <c r="D146" s="86" t="s">
        <v>154</v>
      </c>
      <c r="E146" s="86" t="s">
        <v>125</v>
      </c>
      <c r="F146" s="86" t="s">
        <v>112</v>
      </c>
      <c r="G146" s="86">
        <v>24</v>
      </c>
      <c r="H146" s="86">
        <v>877</v>
      </c>
      <c r="I146" s="86">
        <v>762</v>
      </c>
      <c r="J146" s="87">
        <v>21048</v>
      </c>
      <c r="K146" s="87">
        <v>18288</v>
      </c>
      <c r="L146" s="87">
        <v>-2760</v>
      </c>
      <c r="M146" s="87" t="s">
        <v>113</v>
      </c>
    </row>
    <row r="147" spans="1:13" ht="15.6" thickTop="1" thickBot="1" x14ac:dyDescent="0.35">
      <c r="A147" s="85">
        <v>45511</v>
      </c>
      <c r="B147" s="86" t="s">
        <v>150</v>
      </c>
      <c r="C147" s="86" t="s">
        <v>109</v>
      </c>
      <c r="D147" s="86" t="s">
        <v>131</v>
      </c>
      <c r="E147" s="86" t="s">
        <v>151</v>
      </c>
      <c r="F147" s="86" t="s">
        <v>112</v>
      </c>
      <c r="G147" s="86">
        <v>14</v>
      </c>
      <c r="H147" s="86">
        <v>815</v>
      </c>
      <c r="I147" s="86">
        <v>1341</v>
      </c>
      <c r="J147" s="78">
        <v>11410</v>
      </c>
      <c r="K147" s="92">
        <v>18774</v>
      </c>
      <c r="L147" s="87">
        <v>7364</v>
      </c>
      <c r="M147" s="87" t="s">
        <v>116</v>
      </c>
    </row>
    <row r="148" spans="1:13" ht="15.6" thickTop="1" thickBot="1" x14ac:dyDescent="0.35">
      <c r="A148" s="85">
        <v>45511</v>
      </c>
      <c r="B148" s="86" t="s">
        <v>150</v>
      </c>
      <c r="C148" s="86" t="s">
        <v>109</v>
      </c>
      <c r="D148" s="86" t="s">
        <v>131</v>
      </c>
      <c r="E148" s="86" t="s">
        <v>151</v>
      </c>
      <c r="F148" s="86" t="s">
        <v>112</v>
      </c>
      <c r="G148" s="86">
        <v>11</v>
      </c>
      <c r="H148" s="86">
        <v>930</v>
      </c>
      <c r="I148" s="86">
        <v>876</v>
      </c>
      <c r="J148" s="87">
        <v>10230</v>
      </c>
      <c r="K148" s="87">
        <v>9636</v>
      </c>
      <c r="L148" s="87">
        <v>-594</v>
      </c>
      <c r="M148" s="87" t="s">
        <v>113</v>
      </c>
    </row>
    <row r="149" spans="1:13" ht="15.6" thickTop="1" thickBot="1" x14ac:dyDescent="0.35">
      <c r="A149" s="85">
        <v>45511</v>
      </c>
      <c r="B149" s="86" t="s">
        <v>150</v>
      </c>
      <c r="C149" s="86" t="s">
        <v>109</v>
      </c>
      <c r="D149" s="86" t="s">
        <v>131</v>
      </c>
      <c r="E149" s="86" t="s">
        <v>151</v>
      </c>
      <c r="F149" s="86" t="s">
        <v>112</v>
      </c>
      <c r="G149" s="86">
        <v>20</v>
      </c>
      <c r="H149" s="86">
        <v>803</v>
      </c>
      <c r="I149" s="86">
        <v>1377</v>
      </c>
      <c r="J149" s="87">
        <v>16060</v>
      </c>
      <c r="K149" s="87">
        <v>27540</v>
      </c>
      <c r="L149" s="87">
        <v>11480</v>
      </c>
      <c r="M149" s="87" t="s">
        <v>116</v>
      </c>
    </row>
    <row r="150" spans="1:13" ht="15.6" thickTop="1" thickBot="1" x14ac:dyDescent="0.35">
      <c r="A150" s="85">
        <v>45605</v>
      </c>
      <c r="B150" s="86" t="s">
        <v>252</v>
      </c>
      <c r="C150" s="86" t="s">
        <v>127</v>
      </c>
      <c r="D150" s="86" t="s">
        <v>249</v>
      </c>
      <c r="E150" s="86" t="s">
        <v>161</v>
      </c>
      <c r="F150" s="86" t="s">
        <v>112</v>
      </c>
      <c r="G150" s="86">
        <v>70</v>
      </c>
      <c r="H150" s="86">
        <v>871</v>
      </c>
      <c r="I150" s="86">
        <v>862</v>
      </c>
      <c r="J150" s="87">
        <v>60970</v>
      </c>
      <c r="K150" s="87">
        <v>60340</v>
      </c>
      <c r="L150" s="87">
        <v>-630</v>
      </c>
      <c r="M150" s="87" t="s">
        <v>113</v>
      </c>
    </row>
    <row r="151" spans="1:13" ht="15.6" thickTop="1" thickBot="1" x14ac:dyDescent="0.35">
      <c r="A151" s="85">
        <v>45588</v>
      </c>
      <c r="B151" s="90" t="s">
        <v>232</v>
      </c>
      <c r="C151" s="86" t="s">
        <v>139</v>
      </c>
      <c r="D151" s="86" t="s">
        <v>140</v>
      </c>
      <c r="E151" s="86" t="s">
        <v>155</v>
      </c>
      <c r="F151" s="86" t="s">
        <v>112</v>
      </c>
      <c r="G151" s="86">
        <v>30</v>
      </c>
      <c r="H151" s="86">
        <v>869</v>
      </c>
      <c r="I151" s="86">
        <v>1033</v>
      </c>
      <c r="J151" s="87">
        <v>26070</v>
      </c>
      <c r="K151" s="87">
        <v>30990</v>
      </c>
      <c r="L151" s="87">
        <v>4920</v>
      </c>
      <c r="M151" s="87" t="s">
        <v>116</v>
      </c>
    </row>
    <row r="152" spans="1:13" ht="15.6" thickTop="1" thickBot="1" x14ac:dyDescent="0.35">
      <c r="A152" s="85">
        <v>45616</v>
      </c>
      <c r="B152" s="86" t="s">
        <v>263</v>
      </c>
      <c r="C152" s="86" t="s">
        <v>139</v>
      </c>
      <c r="D152" s="86" t="s">
        <v>154</v>
      </c>
      <c r="E152" s="86" t="s">
        <v>133</v>
      </c>
      <c r="F152" s="86" t="s">
        <v>112</v>
      </c>
      <c r="G152" s="86">
        <v>24</v>
      </c>
      <c r="H152" s="86">
        <v>927</v>
      </c>
      <c r="I152" s="86">
        <v>1379</v>
      </c>
      <c r="J152" s="87">
        <v>22248</v>
      </c>
      <c r="K152" s="87">
        <v>33096</v>
      </c>
      <c r="L152" s="87">
        <v>10848</v>
      </c>
      <c r="M152" s="87" t="s">
        <v>116</v>
      </c>
    </row>
    <row r="153" spans="1:13" ht="15.6" thickTop="1" thickBot="1" x14ac:dyDescent="0.35">
      <c r="A153" s="85">
        <v>45630</v>
      </c>
      <c r="B153" s="86" t="s">
        <v>319</v>
      </c>
      <c r="C153" s="86" t="s">
        <v>139</v>
      </c>
      <c r="D153" s="86" t="s">
        <v>205</v>
      </c>
      <c r="E153" s="86" t="s">
        <v>133</v>
      </c>
      <c r="F153" s="86" t="s">
        <v>123</v>
      </c>
      <c r="G153" s="86">
        <v>23</v>
      </c>
      <c r="H153" s="86">
        <v>632</v>
      </c>
      <c r="I153" s="86">
        <v>762</v>
      </c>
      <c r="J153" s="87">
        <v>14536</v>
      </c>
      <c r="K153" s="87">
        <v>17526</v>
      </c>
      <c r="L153" s="87">
        <v>2990</v>
      </c>
      <c r="M153" s="87" t="s">
        <v>116</v>
      </c>
    </row>
    <row r="154" spans="1:13" ht="15.6" thickTop="1" thickBot="1" x14ac:dyDescent="0.35">
      <c r="A154" s="85">
        <v>45630</v>
      </c>
      <c r="B154" s="86" t="s">
        <v>319</v>
      </c>
      <c r="C154" s="86" t="s">
        <v>139</v>
      </c>
      <c r="D154" s="86" t="s">
        <v>205</v>
      </c>
      <c r="E154" s="86" t="s">
        <v>133</v>
      </c>
      <c r="F154" s="86" t="s">
        <v>123</v>
      </c>
      <c r="G154" s="86">
        <v>22</v>
      </c>
      <c r="H154" s="86">
        <v>781</v>
      </c>
      <c r="I154" s="86">
        <v>1423</v>
      </c>
      <c r="J154" s="87">
        <v>17182</v>
      </c>
      <c r="K154" s="87">
        <v>31306</v>
      </c>
      <c r="L154" s="87">
        <v>14124</v>
      </c>
      <c r="M154" s="87" t="s">
        <v>116</v>
      </c>
    </row>
    <row r="155" spans="1:13" ht="15.6" thickTop="1" thickBot="1" x14ac:dyDescent="0.35">
      <c r="A155" s="85">
        <v>45630</v>
      </c>
      <c r="B155" s="86" t="s">
        <v>319</v>
      </c>
      <c r="C155" s="86" t="s">
        <v>139</v>
      </c>
      <c r="D155" s="86" t="s">
        <v>205</v>
      </c>
      <c r="E155" s="86" t="s">
        <v>133</v>
      </c>
      <c r="F155" s="86" t="s">
        <v>123</v>
      </c>
      <c r="G155" s="86">
        <v>29</v>
      </c>
      <c r="H155" s="86">
        <v>841</v>
      </c>
      <c r="I155" s="86">
        <v>854</v>
      </c>
      <c r="J155" s="87">
        <v>24389</v>
      </c>
      <c r="K155" s="87">
        <v>24766</v>
      </c>
      <c r="L155" s="87">
        <v>377</v>
      </c>
      <c r="M155" s="87" t="s">
        <v>116</v>
      </c>
    </row>
    <row r="156" spans="1:13" ht="15.6" thickTop="1" thickBot="1" x14ac:dyDescent="0.35">
      <c r="A156" s="85">
        <v>45488</v>
      </c>
      <c r="B156" s="86" t="s">
        <v>204</v>
      </c>
      <c r="C156" s="86" t="s">
        <v>139</v>
      </c>
      <c r="D156" s="86" t="s">
        <v>205</v>
      </c>
      <c r="E156" s="86" t="s">
        <v>133</v>
      </c>
      <c r="F156" s="86" t="s">
        <v>112</v>
      </c>
      <c r="G156" s="86">
        <v>26</v>
      </c>
      <c r="H156" s="86">
        <v>627</v>
      </c>
      <c r="I156" s="86">
        <v>1416</v>
      </c>
      <c r="J156" s="87">
        <v>16302</v>
      </c>
      <c r="K156" s="87">
        <v>36816</v>
      </c>
      <c r="L156" s="87">
        <v>20514</v>
      </c>
      <c r="M156" s="87" t="s">
        <v>116</v>
      </c>
    </row>
    <row r="157" spans="1:13" ht="15.6" thickTop="1" thickBot="1" x14ac:dyDescent="0.35">
      <c r="A157" s="85">
        <v>45488</v>
      </c>
      <c r="B157" s="86" t="s">
        <v>204</v>
      </c>
      <c r="C157" s="86" t="s">
        <v>139</v>
      </c>
      <c r="D157" s="86" t="s">
        <v>205</v>
      </c>
      <c r="E157" s="86" t="s">
        <v>133</v>
      </c>
      <c r="F157" s="86" t="s">
        <v>112</v>
      </c>
      <c r="G157" s="86">
        <v>29</v>
      </c>
      <c r="H157" s="86">
        <v>929</v>
      </c>
      <c r="I157" s="86">
        <v>1429</v>
      </c>
      <c r="J157" s="87">
        <v>26941</v>
      </c>
      <c r="K157" s="87">
        <v>41441</v>
      </c>
      <c r="L157" s="87">
        <v>14500</v>
      </c>
      <c r="M157" s="87" t="s">
        <v>116</v>
      </c>
    </row>
    <row r="158" spans="1:13" ht="15.6" thickTop="1" thickBot="1" x14ac:dyDescent="0.35">
      <c r="A158" s="85">
        <v>45553</v>
      </c>
      <c r="B158" s="86" t="s">
        <v>172</v>
      </c>
      <c r="C158" s="86" t="s">
        <v>109</v>
      </c>
      <c r="D158" s="86" t="s">
        <v>131</v>
      </c>
      <c r="E158" s="86" t="s">
        <v>133</v>
      </c>
      <c r="F158" s="86" t="s">
        <v>112</v>
      </c>
      <c r="G158" s="86">
        <v>15</v>
      </c>
      <c r="H158" s="86">
        <v>621</v>
      </c>
      <c r="I158" s="86">
        <v>1488</v>
      </c>
      <c r="J158" s="87">
        <v>9315</v>
      </c>
      <c r="K158" s="87">
        <v>22320</v>
      </c>
      <c r="L158" s="87">
        <v>13005</v>
      </c>
      <c r="M158" s="87" t="s">
        <v>116</v>
      </c>
    </row>
    <row r="159" spans="1:13" ht="15.6" thickTop="1" thickBot="1" x14ac:dyDescent="0.35">
      <c r="A159" s="85">
        <v>45553</v>
      </c>
      <c r="B159" s="86" t="s">
        <v>172</v>
      </c>
      <c r="C159" s="86" t="s">
        <v>109</v>
      </c>
      <c r="D159" s="86" t="s">
        <v>131</v>
      </c>
      <c r="E159" s="86" t="s">
        <v>133</v>
      </c>
      <c r="F159" s="86" t="s">
        <v>112</v>
      </c>
      <c r="G159" s="86">
        <v>17</v>
      </c>
      <c r="H159" s="86">
        <v>966</v>
      </c>
      <c r="I159" s="86">
        <v>1044</v>
      </c>
      <c r="J159" s="87">
        <v>16422</v>
      </c>
      <c r="K159" s="87">
        <v>17748</v>
      </c>
      <c r="L159" s="87">
        <v>1326</v>
      </c>
      <c r="M159" s="87" t="s">
        <v>116</v>
      </c>
    </row>
    <row r="160" spans="1:13" ht="15.6" thickTop="1" thickBot="1" x14ac:dyDescent="0.35">
      <c r="A160" s="85">
        <v>45663</v>
      </c>
      <c r="B160" s="91" t="s">
        <v>188</v>
      </c>
      <c r="C160" s="86" t="s">
        <v>109</v>
      </c>
      <c r="D160" s="80" t="s">
        <v>110</v>
      </c>
      <c r="E160" s="86" t="s">
        <v>115</v>
      </c>
      <c r="F160" s="86" t="s">
        <v>112</v>
      </c>
      <c r="G160" s="86">
        <v>20</v>
      </c>
      <c r="H160" s="86">
        <v>837</v>
      </c>
      <c r="I160" s="86">
        <v>1014</v>
      </c>
      <c r="J160" s="87">
        <v>16740</v>
      </c>
      <c r="K160" s="87">
        <v>20280</v>
      </c>
      <c r="L160" s="87">
        <v>3540</v>
      </c>
      <c r="M160" s="87" t="s">
        <v>116</v>
      </c>
    </row>
    <row r="161" spans="1:13" ht="15.6" thickTop="1" thickBot="1" x14ac:dyDescent="0.35">
      <c r="A161" s="85">
        <v>45663</v>
      </c>
      <c r="B161" s="86" t="s">
        <v>188</v>
      </c>
      <c r="C161" s="86" t="s">
        <v>109</v>
      </c>
      <c r="D161" s="86" t="s">
        <v>110</v>
      </c>
      <c r="E161" s="86" t="s">
        <v>115</v>
      </c>
      <c r="F161" s="86" t="s">
        <v>112</v>
      </c>
      <c r="G161" s="86">
        <v>17</v>
      </c>
      <c r="H161" s="86">
        <v>825</v>
      </c>
      <c r="I161" s="86">
        <v>1080</v>
      </c>
      <c r="J161" s="87">
        <v>14025</v>
      </c>
      <c r="K161" s="87">
        <v>18360</v>
      </c>
      <c r="L161" s="87">
        <v>4335</v>
      </c>
      <c r="M161" s="87" t="s">
        <v>116</v>
      </c>
    </row>
    <row r="162" spans="1:13" ht="15.6" thickTop="1" thickBot="1" x14ac:dyDescent="0.35">
      <c r="A162" s="85">
        <v>45454</v>
      </c>
      <c r="B162" s="86" t="s">
        <v>108</v>
      </c>
      <c r="C162" s="86" t="s">
        <v>109</v>
      </c>
      <c r="D162" s="86" t="s">
        <v>110</v>
      </c>
      <c r="E162" s="86" t="s">
        <v>111</v>
      </c>
      <c r="F162" s="86" t="s">
        <v>112</v>
      </c>
      <c r="G162" s="86">
        <v>17</v>
      </c>
      <c r="H162" s="86">
        <v>938</v>
      </c>
      <c r="I162" s="86">
        <v>938</v>
      </c>
      <c r="J162" s="87">
        <v>15946</v>
      </c>
      <c r="K162" s="87">
        <v>15946</v>
      </c>
      <c r="L162" s="87">
        <v>0</v>
      </c>
      <c r="M162" s="87" t="s">
        <v>113</v>
      </c>
    </row>
    <row r="163" spans="1:13" ht="15.6" thickTop="1" thickBot="1" x14ac:dyDescent="0.35">
      <c r="A163" s="85">
        <v>45454</v>
      </c>
      <c r="B163" s="86" t="s">
        <v>108</v>
      </c>
      <c r="C163" s="86" t="s">
        <v>109</v>
      </c>
      <c r="D163" s="86" t="s">
        <v>110</v>
      </c>
      <c r="E163" s="86" t="s">
        <v>111</v>
      </c>
      <c r="F163" s="86" t="s">
        <v>112</v>
      </c>
      <c r="G163" s="86">
        <v>11</v>
      </c>
      <c r="H163" s="86">
        <v>601</v>
      </c>
      <c r="I163" s="86">
        <v>1323</v>
      </c>
      <c r="J163" s="87">
        <v>6611</v>
      </c>
      <c r="K163" s="87">
        <v>14553</v>
      </c>
      <c r="L163" s="87">
        <v>7942</v>
      </c>
      <c r="M163" s="87" t="s">
        <v>116</v>
      </c>
    </row>
    <row r="164" spans="1:13" ht="15.6" thickTop="1" thickBot="1" x14ac:dyDescent="0.35">
      <c r="A164" s="85">
        <v>45454</v>
      </c>
      <c r="B164" s="86" t="s">
        <v>108</v>
      </c>
      <c r="C164" s="86" t="s">
        <v>109</v>
      </c>
      <c r="D164" s="86" t="s">
        <v>110</v>
      </c>
      <c r="E164" s="86" t="s">
        <v>111</v>
      </c>
      <c r="F164" s="86" t="s">
        <v>112</v>
      </c>
      <c r="G164" s="86">
        <v>13</v>
      </c>
      <c r="H164" s="86">
        <v>643</v>
      </c>
      <c r="I164" s="86">
        <v>1432</v>
      </c>
      <c r="J164" s="87">
        <v>8359</v>
      </c>
      <c r="K164" s="87">
        <v>18616</v>
      </c>
      <c r="L164" s="87">
        <v>10257</v>
      </c>
      <c r="M164" s="87" t="s">
        <v>116</v>
      </c>
    </row>
    <row r="165" spans="1:13" ht="15.6" thickTop="1" thickBot="1" x14ac:dyDescent="0.35">
      <c r="A165" s="85">
        <v>45464</v>
      </c>
      <c r="B165" s="86" t="s">
        <v>202</v>
      </c>
      <c r="C165" s="86" t="s">
        <v>127</v>
      </c>
      <c r="D165" s="86" t="s">
        <v>186</v>
      </c>
      <c r="E165" s="86" t="s">
        <v>137</v>
      </c>
      <c r="F165" s="86" t="s">
        <v>112</v>
      </c>
      <c r="G165" s="86">
        <v>75</v>
      </c>
      <c r="H165" s="86">
        <v>859</v>
      </c>
      <c r="I165" s="86">
        <v>1486</v>
      </c>
      <c r="J165" s="87">
        <v>64425</v>
      </c>
      <c r="K165" s="87">
        <v>111450</v>
      </c>
      <c r="L165" s="87">
        <v>47025</v>
      </c>
      <c r="M165" s="87" t="s">
        <v>116</v>
      </c>
    </row>
    <row r="166" spans="1:13" ht="15.6" thickTop="1" thickBot="1" x14ac:dyDescent="0.35">
      <c r="A166" s="85">
        <v>45464</v>
      </c>
      <c r="B166" s="86" t="s">
        <v>202</v>
      </c>
      <c r="C166" s="86" t="s">
        <v>127</v>
      </c>
      <c r="D166" s="86" t="s">
        <v>186</v>
      </c>
      <c r="E166" s="86" t="s">
        <v>137</v>
      </c>
      <c r="F166" s="86" t="s">
        <v>112</v>
      </c>
      <c r="G166" s="86">
        <v>77</v>
      </c>
      <c r="H166" s="86">
        <v>923</v>
      </c>
      <c r="I166" s="86">
        <v>1132</v>
      </c>
      <c r="J166" s="87">
        <v>71071</v>
      </c>
      <c r="K166" s="87">
        <v>87164</v>
      </c>
      <c r="L166" s="87">
        <v>16093</v>
      </c>
      <c r="M166" s="87" t="s">
        <v>116</v>
      </c>
    </row>
    <row r="167" spans="1:13" ht="15.6" thickTop="1" thickBot="1" x14ac:dyDescent="0.35">
      <c r="A167" s="85">
        <v>45420</v>
      </c>
      <c r="B167" s="86" t="s">
        <v>251</v>
      </c>
      <c r="C167" s="86" t="s">
        <v>139</v>
      </c>
      <c r="D167" s="86" t="s">
        <v>205</v>
      </c>
      <c r="E167" s="86" t="s">
        <v>125</v>
      </c>
      <c r="F167" s="86" t="s">
        <v>112</v>
      </c>
      <c r="G167" s="86">
        <v>26</v>
      </c>
      <c r="H167" s="86">
        <v>595</v>
      </c>
      <c r="I167" s="86">
        <v>914</v>
      </c>
      <c r="J167" s="87">
        <v>15470</v>
      </c>
      <c r="K167" s="87">
        <v>23764</v>
      </c>
      <c r="L167" s="87">
        <v>8294</v>
      </c>
      <c r="M167" s="87" t="s">
        <v>116</v>
      </c>
    </row>
    <row r="168" spans="1:13" ht="15.6" thickTop="1" thickBot="1" x14ac:dyDescent="0.35">
      <c r="A168" s="85">
        <v>45420</v>
      </c>
      <c r="B168" s="86" t="s">
        <v>251</v>
      </c>
      <c r="C168" s="86" t="s">
        <v>139</v>
      </c>
      <c r="D168" s="86" t="s">
        <v>205</v>
      </c>
      <c r="E168" s="86" t="s">
        <v>125</v>
      </c>
      <c r="F168" s="86" t="s">
        <v>112</v>
      </c>
      <c r="G168" s="86">
        <v>22</v>
      </c>
      <c r="H168" s="86">
        <v>725</v>
      </c>
      <c r="I168" s="86">
        <v>765</v>
      </c>
      <c r="J168" s="87">
        <v>15950</v>
      </c>
      <c r="K168" s="87">
        <v>16830</v>
      </c>
      <c r="L168" s="87">
        <v>880</v>
      </c>
      <c r="M168" s="87" t="s">
        <v>116</v>
      </c>
    </row>
    <row r="169" spans="1:13" ht="15.6" thickTop="1" thickBot="1" x14ac:dyDescent="0.35">
      <c r="A169" s="85">
        <v>45420</v>
      </c>
      <c r="B169" s="86" t="s">
        <v>251</v>
      </c>
      <c r="C169" s="86" t="s">
        <v>139</v>
      </c>
      <c r="D169" s="86" t="s">
        <v>205</v>
      </c>
      <c r="E169" s="86" t="s">
        <v>125</v>
      </c>
      <c r="F169" s="86" t="s">
        <v>112</v>
      </c>
      <c r="G169" s="86">
        <v>27</v>
      </c>
      <c r="H169" s="86">
        <v>675</v>
      </c>
      <c r="I169" s="86">
        <v>1138</v>
      </c>
      <c r="J169" s="87">
        <v>18225</v>
      </c>
      <c r="K169" s="87">
        <v>30726</v>
      </c>
      <c r="L169" s="87">
        <v>12501</v>
      </c>
      <c r="M169" s="87" t="s">
        <v>116</v>
      </c>
    </row>
    <row r="170" spans="1:13" ht="15.6" thickTop="1" thickBot="1" x14ac:dyDescent="0.35">
      <c r="A170" s="85">
        <v>45513</v>
      </c>
      <c r="B170" s="91" t="s">
        <v>152</v>
      </c>
      <c r="C170" s="86" t="s">
        <v>109</v>
      </c>
      <c r="D170" s="86" t="s">
        <v>131</v>
      </c>
      <c r="E170" s="86" t="s">
        <v>133</v>
      </c>
      <c r="F170" s="91" t="s">
        <v>112</v>
      </c>
      <c r="G170" s="86">
        <v>18</v>
      </c>
      <c r="H170" s="86">
        <v>704</v>
      </c>
      <c r="I170" s="86">
        <v>930</v>
      </c>
      <c r="J170" s="87">
        <v>12672</v>
      </c>
      <c r="K170" s="87">
        <v>16740</v>
      </c>
      <c r="L170" s="87">
        <v>4068</v>
      </c>
      <c r="M170" s="87" t="s">
        <v>116</v>
      </c>
    </row>
    <row r="171" spans="1:13" ht="15.6" thickTop="1" thickBot="1" x14ac:dyDescent="0.35">
      <c r="A171" s="85">
        <v>45513</v>
      </c>
      <c r="B171" s="86" t="s">
        <v>152</v>
      </c>
      <c r="C171" s="86" t="s">
        <v>109</v>
      </c>
      <c r="D171" s="86" t="s">
        <v>131</v>
      </c>
      <c r="E171" s="81" t="s">
        <v>133</v>
      </c>
      <c r="F171" s="86" t="s">
        <v>112</v>
      </c>
      <c r="G171" s="86">
        <v>12</v>
      </c>
      <c r="H171" s="86">
        <v>606</v>
      </c>
      <c r="I171" s="86">
        <v>1154</v>
      </c>
      <c r="J171" s="87">
        <v>7272</v>
      </c>
      <c r="K171" s="87">
        <v>13848</v>
      </c>
      <c r="L171" s="87">
        <v>6576</v>
      </c>
      <c r="M171" s="87" t="s">
        <v>116</v>
      </c>
    </row>
    <row r="172" spans="1:13" ht="15.6" thickTop="1" thickBot="1" x14ac:dyDescent="0.35">
      <c r="A172" s="85">
        <v>45485</v>
      </c>
      <c r="B172" s="86" t="s">
        <v>267</v>
      </c>
      <c r="C172" s="86" t="s">
        <v>139</v>
      </c>
      <c r="D172" s="86" t="s">
        <v>205</v>
      </c>
      <c r="E172" s="86" t="s">
        <v>155</v>
      </c>
      <c r="F172" s="86" t="s">
        <v>123</v>
      </c>
      <c r="G172" s="86">
        <v>30</v>
      </c>
      <c r="H172" s="86">
        <v>859</v>
      </c>
      <c r="I172" s="86">
        <v>1123</v>
      </c>
      <c r="J172" s="87">
        <v>25770</v>
      </c>
      <c r="K172" s="87">
        <v>33690</v>
      </c>
      <c r="L172" s="87">
        <v>7920</v>
      </c>
      <c r="M172" s="87" t="s">
        <v>116</v>
      </c>
    </row>
    <row r="173" spans="1:13" ht="15.6" thickTop="1" thickBot="1" x14ac:dyDescent="0.35">
      <c r="A173" s="85">
        <v>45485</v>
      </c>
      <c r="B173" s="86" t="s">
        <v>267</v>
      </c>
      <c r="C173" s="86" t="s">
        <v>139</v>
      </c>
      <c r="D173" s="86" t="s">
        <v>205</v>
      </c>
      <c r="E173" s="86" t="s">
        <v>155</v>
      </c>
      <c r="F173" s="86" t="s">
        <v>123</v>
      </c>
      <c r="G173" s="86">
        <v>24</v>
      </c>
      <c r="H173" s="86">
        <v>970</v>
      </c>
      <c r="I173" s="86">
        <v>1256</v>
      </c>
      <c r="J173" s="87">
        <v>23280</v>
      </c>
      <c r="K173" s="87">
        <v>30144</v>
      </c>
      <c r="L173" s="87">
        <v>6864</v>
      </c>
      <c r="M173" s="87" t="s">
        <v>116</v>
      </c>
    </row>
    <row r="174" spans="1:13" ht="15.6" thickTop="1" thickBot="1" x14ac:dyDescent="0.35">
      <c r="A174" s="85">
        <v>45485</v>
      </c>
      <c r="B174" s="86" t="s">
        <v>267</v>
      </c>
      <c r="C174" s="86" t="s">
        <v>139</v>
      </c>
      <c r="D174" s="86" t="s">
        <v>205</v>
      </c>
      <c r="E174" s="86" t="s">
        <v>155</v>
      </c>
      <c r="F174" s="86" t="s">
        <v>123</v>
      </c>
      <c r="G174" s="86">
        <v>23</v>
      </c>
      <c r="H174" s="86">
        <v>589</v>
      </c>
      <c r="I174" s="86">
        <v>982</v>
      </c>
      <c r="J174" s="87">
        <v>13547</v>
      </c>
      <c r="K174" s="87">
        <v>22586</v>
      </c>
      <c r="L174" s="87">
        <v>9039</v>
      </c>
      <c r="M174" s="87" t="s">
        <v>116</v>
      </c>
    </row>
    <row r="175" spans="1:13" ht="15.6" thickTop="1" thickBot="1" x14ac:dyDescent="0.35">
      <c r="A175" s="85">
        <v>45598</v>
      </c>
      <c r="B175" s="86" t="s">
        <v>294</v>
      </c>
      <c r="C175" s="86" t="s">
        <v>139</v>
      </c>
      <c r="D175" s="86" t="s">
        <v>140</v>
      </c>
      <c r="E175" s="86" t="s">
        <v>118</v>
      </c>
      <c r="F175" s="86" t="s">
        <v>123</v>
      </c>
      <c r="G175" s="86">
        <v>29</v>
      </c>
      <c r="H175" s="86">
        <v>510</v>
      </c>
      <c r="I175" s="86">
        <v>1131</v>
      </c>
      <c r="J175" s="87">
        <v>14790</v>
      </c>
      <c r="K175" s="87">
        <v>32799</v>
      </c>
      <c r="L175" s="87">
        <v>18009</v>
      </c>
      <c r="M175" s="87" t="s">
        <v>116</v>
      </c>
    </row>
    <row r="176" spans="1:13" ht="15.6" thickTop="1" thickBot="1" x14ac:dyDescent="0.35">
      <c r="A176" s="85">
        <v>45598</v>
      </c>
      <c r="B176" s="86" t="s">
        <v>294</v>
      </c>
      <c r="C176" s="86" t="s">
        <v>139</v>
      </c>
      <c r="D176" s="86" t="s">
        <v>140</v>
      </c>
      <c r="E176" s="86" t="s">
        <v>118</v>
      </c>
      <c r="F176" s="86" t="s">
        <v>123</v>
      </c>
      <c r="G176" s="86">
        <v>22</v>
      </c>
      <c r="H176" s="86">
        <v>586</v>
      </c>
      <c r="I176" s="86">
        <v>1206</v>
      </c>
      <c r="J176" s="87">
        <v>12892</v>
      </c>
      <c r="K176" s="87">
        <v>26532</v>
      </c>
      <c r="L176" s="87">
        <v>13640</v>
      </c>
      <c r="M176" s="87" t="s">
        <v>116</v>
      </c>
    </row>
    <row r="177" spans="1:13" ht="15.6" thickTop="1" thickBot="1" x14ac:dyDescent="0.35">
      <c r="A177" s="85">
        <v>45598</v>
      </c>
      <c r="B177" s="86" t="s">
        <v>294</v>
      </c>
      <c r="C177" s="86" t="s">
        <v>139</v>
      </c>
      <c r="D177" s="86" t="s">
        <v>140</v>
      </c>
      <c r="E177" s="86" t="s">
        <v>118</v>
      </c>
      <c r="F177" s="86" t="s">
        <v>123</v>
      </c>
      <c r="G177" s="86">
        <v>25</v>
      </c>
      <c r="H177" s="86">
        <v>532</v>
      </c>
      <c r="I177" s="86">
        <v>1358</v>
      </c>
      <c r="J177" s="87">
        <v>13300</v>
      </c>
      <c r="K177" s="87">
        <v>33950</v>
      </c>
      <c r="L177" s="87">
        <v>20650</v>
      </c>
      <c r="M177" s="87" t="s">
        <v>116</v>
      </c>
    </row>
    <row r="178" spans="1:13" ht="15.6" thickTop="1" thickBot="1" x14ac:dyDescent="0.35">
      <c r="A178" s="85">
        <v>45425</v>
      </c>
      <c r="B178" s="86" t="s">
        <v>258</v>
      </c>
      <c r="C178" s="86" t="s">
        <v>139</v>
      </c>
      <c r="D178" s="86" t="s">
        <v>205</v>
      </c>
      <c r="E178" s="86" t="s">
        <v>120</v>
      </c>
      <c r="F178" s="86" t="s">
        <v>112</v>
      </c>
      <c r="G178" s="86">
        <v>26</v>
      </c>
      <c r="H178" s="86">
        <v>781</v>
      </c>
      <c r="I178" s="86">
        <v>1019</v>
      </c>
      <c r="J178" s="87">
        <v>20306</v>
      </c>
      <c r="K178" s="87">
        <v>26494</v>
      </c>
      <c r="L178" s="87">
        <v>6188</v>
      </c>
      <c r="M178" s="87" t="s">
        <v>116</v>
      </c>
    </row>
    <row r="179" spans="1:13" ht="15.6" thickTop="1" thickBot="1" x14ac:dyDescent="0.35">
      <c r="A179" s="85">
        <v>45425</v>
      </c>
      <c r="B179" s="86" t="s">
        <v>258</v>
      </c>
      <c r="C179" s="86" t="s">
        <v>139</v>
      </c>
      <c r="D179" s="86" t="s">
        <v>205</v>
      </c>
      <c r="E179" s="86" t="s">
        <v>120</v>
      </c>
      <c r="F179" s="86" t="s">
        <v>112</v>
      </c>
      <c r="G179" s="86">
        <v>30</v>
      </c>
      <c r="H179" s="86">
        <v>738</v>
      </c>
      <c r="I179" s="86">
        <v>1216</v>
      </c>
      <c r="J179" s="87">
        <v>22140</v>
      </c>
      <c r="K179" s="87">
        <v>36480</v>
      </c>
      <c r="L179" s="87">
        <v>14340</v>
      </c>
      <c r="M179" s="87" t="s">
        <v>116</v>
      </c>
    </row>
    <row r="180" spans="1:13" ht="15.6" thickTop="1" thickBot="1" x14ac:dyDescent="0.35">
      <c r="A180" s="85">
        <v>45425</v>
      </c>
      <c r="B180" s="86" t="s">
        <v>258</v>
      </c>
      <c r="C180" s="86" t="s">
        <v>139</v>
      </c>
      <c r="D180" s="86" t="s">
        <v>205</v>
      </c>
      <c r="E180" s="86" t="s">
        <v>120</v>
      </c>
      <c r="F180" s="86" t="s">
        <v>112</v>
      </c>
      <c r="G180" s="86">
        <v>23</v>
      </c>
      <c r="H180" s="86">
        <v>811</v>
      </c>
      <c r="I180" s="86">
        <v>1142</v>
      </c>
      <c r="J180" s="87">
        <v>18653</v>
      </c>
      <c r="K180" s="87">
        <v>26266</v>
      </c>
      <c r="L180" s="87">
        <v>7613</v>
      </c>
      <c r="M180" s="87" t="s">
        <v>116</v>
      </c>
    </row>
    <row r="181" spans="1:13" ht="15.6" thickTop="1" thickBot="1" x14ac:dyDescent="0.35">
      <c r="A181" s="85">
        <v>45695</v>
      </c>
      <c r="B181" s="86" t="s">
        <v>332</v>
      </c>
      <c r="C181" s="86" t="s">
        <v>139</v>
      </c>
      <c r="D181" s="86" t="s">
        <v>205</v>
      </c>
      <c r="E181" s="86" t="s">
        <v>120</v>
      </c>
      <c r="F181" s="86" t="s">
        <v>123</v>
      </c>
      <c r="G181" s="86">
        <v>23</v>
      </c>
      <c r="H181" s="86">
        <v>761</v>
      </c>
      <c r="I181" s="86">
        <v>901</v>
      </c>
      <c r="J181" s="87">
        <v>17503</v>
      </c>
      <c r="K181" s="87">
        <v>20723</v>
      </c>
      <c r="L181" s="87">
        <v>3220</v>
      </c>
      <c r="M181" s="87" t="s">
        <v>116</v>
      </c>
    </row>
    <row r="182" spans="1:13" ht="15.6" thickTop="1" thickBot="1" x14ac:dyDescent="0.35">
      <c r="A182" s="85">
        <v>45695</v>
      </c>
      <c r="B182" s="86" t="s">
        <v>332</v>
      </c>
      <c r="C182" s="86" t="s">
        <v>139</v>
      </c>
      <c r="D182" s="86" t="s">
        <v>205</v>
      </c>
      <c r="E182" s="86" t="s">
        <v>120</v>
      </c>
      <c r="F182" s="86" t="s">
        <v>123</v>
      </c>
      <c r="G182" s="86">
        <v>29</v>
      </c>
      <c r="H182" s="86">
        <v>598</v>
      </c>
      <c r="I182" s="86">
        <v>923</v>
      </c>
      <c r="J182" s="87">
        <v>17342</v>
      </c>
      <c r="K182" s="87">
        <v>26767</v>
      </c>
      <c r="L182" s="87">
        <v>9425</v>
      </c>
      <c r="M182" s="87" t="s">
        <v>116</v>
      </c>
    </row>
    <row r="183" spans="1:13" ht="15.6" thickTop="1" thickBot="1" x14ac:dyDescent="0.35">
      <c r="A183" s="85">
        <v>45628</v>
      </c>
      <c r="B183" s="86" t="s">
        <v>318</v>
      </c>
      <c r="C183" s="86" t="s">
        <v>139</v>
      </c>
      <c r="D183" s="86" t="s">
        <v>205</v>
      </c>
      <c r="E183" s="86" t="s">
        <v>155</v>
      </c>
      <c r="F183" s="86" t="s">
        <v>112</v>
      </c>
      <c r="G183" s="86">
        <v>20</v>
      </c>
      <c r="H183" s="86">
        <v>666</v>
      </c>
      <c r="I183" s="86">
        <v>1087</v>
      </c>
      <c r="J183" s="87">
        <v>13320</v>
      </c>
      <c r="K183" s="87">
        <v>21740</v>
      </c>
      <c r="L183" s="87">
        <v>8420</v>
      </c>
      <c r="M183" s="87" t="s">
        <v>116</v>
      </c>
    </row>
    <row r="184" spans="1:13" ht="15.6" thickTop="1" thickBot="1" x14ac:dyDescent="0.35">
      <c r="A184" s="85">
        <v>45628</v>
      </c>
      <c r="B184" s="86" t="s">
        <v>318</v>
      </c>
      <c r="C184" s="86" t="s">
        <v>139</v>
      </c>
      <c r="D184" s="86" t="s">
        <v>205</v>
      </c>
      <c r="E184" s="86" t="s">
        <v>155</v>
      </c>
      <c r="F184" s="86" t="s">
        <v>112</v>
      </c>
      <c r="G184" s="86">
        <v>20</v>
      </c>
      <c r="H184" s="86">
        <v>897</v>
      </c>
      <c r="I184" s="86">
        <v>1024</v>
      </c>
      <c r="J184" s="87">
        <v>17940</v>
      </c>
      <c r="K184" s="87">
        <v>20480</v>
      </c>
      <c r="L184" s="87">
        <v>2540</v>
      </c>
      <c r="M184" s="87" t="s">
        <v>116</v>
      </c>
    </row>
    <row r="185" spans="1:13" ht="15.6" thickTop="1" thickBot="1" x14ac:dyDescent="0.35">
      <c r="A185" s="85">
        <v>45628</v>
      </c>
      <c r="B185" s="86" t="s">
        <v>318</v>
      </c>
      <c r="C185" s="86" t="s">
        <v>139</v>
      </c>
      <c r="D185" s="86" t="s">
        <v>205</v>
      </c>
      <c r="E185" s="86" t="s">
        <v>155</v>
      </c>
      <c r="F185" s="86" t="s">
        <v>112</v>
      </c>
      <c r="G185" s="86">
        <v>25</v>
      </c>
      <c r="H185" s="86">
        <v>982</v>
      </c>
      <c r="I185" s="86">
        <v>1479</v>
      </c>
      <c r="J185" s="87">
        <v>24550</v>
      </c>
      <c r="K185" s="87">
        <v>36975</v>
      </c>
      <c r="L185" s="87">
        <v>12425</v>
      </c>
      <c r="M185" s="87" t="s">
        <v>116</v>
      </c>
    </row>
    <row r="186" spans="1:13" ht="15.6" thickTop="1" thickBot="1" x14ac:dyDescent="0.35">
      <c r="A186" s="85">
        <v>45687</v>
      </c>
      <c r="B186" s="86" t="s">
        <v>331</v>
      </c>
      <c r="C186" s="86" t="s">
        <v>109</v>
      </c>
      <c r="D186" s="86" t="s">
        <v>131</v>
      </c>
      <c r="E186" s="86" t="s">
        <v>125</v>
      </c>
      <c r="F186" s="86" t="s">
        <v>123</v>
      </c>
      <c r="G186" s="86">
        <v>10</v>
      </c>
      <c r="H186" s="86">
        <v>911</v>
      </c>
      <c r="I186" s="86">
        <v>1097</v>
      </c>
      <c r="J186" s="87">
        <v>9110</v>
      </c>
      <c r="K186" s="87">
        <v>10970</v>
      </c>
      <c r="L186" s="87">
        <v>1860</v>
      </c>
      <c r="M186" s="87" t="s">
        <v>116</v>
      </c>
    </row>
    <row r="187" spans="1:13" ht="15.6" thickTop="1" thickBot="1" x14ac:dyDescent="0.35">
      <c r="A187" s="85">
        <v>45547</v>
      </c>
      <c r="B187" s="91" t="s">
        <v>165</v>
      </c>
      <c r="C187" s="86" t="s">
        <v>109</v>
      </c>
      <c r="D187" s="86" t="s">
        <v>131</v>
      </c>
      <c r="E187" s="86" t="s">
        <v>166</v>
      </c>
      <c r="F187" s="86" t="s">
        <v>112</v>
      </c>
      <c r="G187" s="86">
        <v>19</v>
      </c>
      <c r="H187" s="86">
        <v>653</v>
      </c>
      <c r="I187" s="86">
        <v>1402</v>
      </c>
      <c r="J187" s="87">
        <v>12407</v>
      </c>
      <c r="K187" s="87">
        <v>26638</v>
      </c>
      <c r="L187" s="87">
        <v>14231</v>
      </c>
      <c r="M187" s="87" t="s">
        <v>116</v>
      </c>
    </row>
    <row r="188" spans="1:13" ht="15.6" thickTop="1" thickBot="1" x14ac:dyDescent="0.35">
      <c r="A188" s="85">
        <v>45547</v>
      </c>
      <c r="B188" s="86" t="s">
        <v>165</v>
      </c>
      <c r="C188" s="86" t="s">
        <v>109</v>
      </c>
      <c r="D188" s="86" t="s">
        <v>131</v>
      </c>
      <c r="E188" s="86" t="s">
        <v>166</v>
      </c>
      <c r="F188" s="86" t="s">
        <v>112</v>
      </c>
      <c r="G188" s="86">
        <v>10</v>
      </c>
      <c r="H188" s="86">
        <v>554</v>
      </c>
      <c r="I188" s="86">
        <v>1210</v>
      </c>
      <c r="J188" s="87">
        <v>5540</v>
      </c>
      <c r="K188" s="87">
        <v>12100</v>
      </c>
      <c r="L188" s="87">
        <v>6560</v>
      </c>
      <c r="M188" s="87" t="s">
        <v>116</v>
      </c>
    </row>
    <row r="189" spans="1:13" ht="15.6" thickTop="1" thickBot="1" x14ac:dyDescent="0.35">
      <c r="A189" s="85">
        <v>45678</v>
      </c>
      <c r="B189" s="91" t="s">
        <v>190</v>
      </c>
      <c r="C189" s="86" t="s">
        <v>109</v>
      </c>
      <c r="D189" s="86" t="s">
        <v>131</v>
      </c>
      <c r="E189" s="86" t="s">
        <v>111</v>
      </c>
      <c r="F189" s="86" t="s">
        <v>112</v>
      </c>
      <c r="G189" s="86">
        <v>20</v>
      </c>
      <c r="H189" s="86">
        <v>749</v>
      </c>
      <c r="I189" s="86">
        <v>753</v>
      </c>
      <c r="J189" s="87">
        <v>14980</v>
      </c>
      <c r="K189" s="87">
        <v>15060</v>
      </c>
      <c r="L189" s="87">
        <v>80</v>
      </c>
      <c r="M189" s="87" t="s">
        <v>116</v>
      </c>
    </row>
    <row r="190" spans="1:13" ht="15.6" thickTop="1" thickBot="1" x14ac:dyDescent="0.35">
      <c r="A190" s="85">
        <v>45678</v>
      </c>
      <c r="B190" s="86" t="s">
        <v>190</v>
      </c>
      <c r="C190" s="86" t="s">
        <v>109</v>
      </c>
      <c r="D190" s="86" t="s">
        <v>131</v>
      </c>
      <c r="E190" s="86" t="s">
        <v>111</v>
      </c>
      <c r="F190" s="86" t="s">
        <v>112</v>
      </c>
      <c r="G190" s="86">
        <v>11</v>
      </c>
      <c r="H190" s="86">
        <v>519</v>
      </c>
      <c r="I190" s="86">
        <v>1143</v>
      </c>
      <c r="J190" s="87">
        <v>5709</v>
      </c>
      <c r="K190" s="87">
        <v>12573</v>
      </c>
      <c r="L190" s="87">
        <v>6864</v>
      </c>
      <c r="M190" s="87" t="s">
        <v>116</v>
      </c>
    </row>
    <row r="191" spans="1:13" ht="15.6" thickTop="1" thickBot="1" x14ac:dyDescent="0.35">
      <c r="A191" s="85">
        <v>45678</v>
      </c>
      <c r="B191" s="86" t="s">
        <v>190</v>
      </c>
      <c r="C191" s="86" t="s">
        <v>109</v>
      </c>
      <c r="D191" s="86" t="s">
        <v>131</v>
      </c>
      <c r="E191" s="86" t="s">
        <v>111</v>
      </c>
      <c r="F191" s="86" t="s">
        <v>112</v>
      </c>
      <c r="G191" s="86">
        <v>20</v>
      </c>
      <c r="H191" s="86">
        <v>900</v>
      </c>
      <c r="I191" s="86">
        <v>1431</v>
      </c>
      <c r="J191" s="87">
        <v>18000</v>
      </c>
      <c r="K191" s="87">
        <v>28620</v>
      </c>
      <c r="L191" s="87">
        <v>10620</v>
      </c>
      <c r="M191" s="87" t="s">
        <v>116</v>
      </c>
    </row>
    <row r="192" spans="1:13" ht="15.6" thickTop="1" thickBot="1" x14ac:dyDescent="0.35">
      <c r="A192" s="85">
        <v>45584</v>
      </c>
      <c r="B192" s="91" t="s">
        <v>181</v>
      </c>
      <c r="C192" s="86" t="s">
        <v>109</v>
      </c>
      <c r="D192" s="86" t="s">
        <v>131</v>
      </c>
      <c r="E192" s="86" t="s">
        <v>129</v>
      </c>
      <c r="F192" s="86" t="s">
        <v>112</v>
      </c>
      <c r="G192" s="86">
        <v>18</v>
      </c>
      <c r="H192" s="86">
        <v>596</v>
      </c>
      <c r="I192" s="86">
        <v>817</v>
      </c>
      <c r="J192" s="87">
        <v>10728</v>
      </c>
      <c r="K192" s="87">
        <v>14706</v>
      </c>
      <c r="L192" s="87">
        <v>3978</v>
      </c>
      <c r="M192" s="87" t="s">
        <v>116</v>
      </c>
    </row>
    <row r="193" spans="1:13" ht="15.6" thickTop="1" thickBot="1" x14ac:dyDescent="0.35">
      <c r="A193" s="85">
        <v>45584</v>
      </c>
      <c r="B193" s="86" t="s">
        <v>181</v>
      </c>
      <c r="C193" s="86" t="s">
        <v>109</v>
      </c>
      <c r="D193" s="86" t="s">
        <v>131</v>
      </c>
      <c r="E193" s="86" t="s">
        <v>129</v>
      </c>
      <c r="F193" s="86" t="s">
        <v>112</v>
      </c>
      <c r="G193" s="86">
        <v>15</v>
      </c>
      <c r="H193" s="86">
        <v>662</v>
      </c>
      <c r="I193" s="86">
        <v>1183</v>
      </c>
      <c r="J193" s="87">
        <v>9930</v>
      </c>
      <c r="K193" s="87">
        <v>17745</v>
      </c>
      <c r="L193" s="87">
        <v>7815</v>
      </c>
      <c r="M193" s="87" t="s">
        <v>116</v>
      </c>
    </row>
    <row r="194" spans="1:13" ht="15.6" thickTop="1" thickBot="1" x14ac:dyDescent="0.35">
      <c r="A194" s="85">
        <v>45584</v>
      </c>
      <c r="B194" s="86" t="s">
        <v>181</v>
      </c>
      <c r="C194" s="86" t="s">
        <v>109</v>
      </c>
      <c r="D194" s="86" t="s">
        <v>131</v>
      </c>
      <c r="E194" s="86" t="s">
        <v>129</v>
      </c>
      <c r="F194" s="86" t="s">
        <v>112</v>
      </c>
      <c r="G194" s="86">
        <v>15</v>
      </c>
      <c r="H194" s="86">
        <v>747</v>
      </c>
      <c r="I194" s="86">
        <v>966</v>
      </c>
      <c r="J194" s="87">
        <v>11205</v>
      </c>
      <c r="K194" s="87">
        <v>14490</v>
      </c>
      <c r="L194" s="87">
        <v>3285</v>
      </c>
      <c r="M194" s="87" t="s">
        <v>116</v>
      </c>
    </row>
    <row r="195" spans="1:13" ht="15.6" thickTop="1" thickBot="1" x14ac:dyDescent="0.35">
      <c r="A195" s="85">
        <v>45659</v>
      </c>
      <c r="B195" s="91" t="s">
        <v>184</v>
      </c>
      <c r="C195" s="86" t="s">
        <v>109</v>
      </c>
      <c r="D195" s="86" t="s">
        <v>110</v>
      </c>
      <c r="E195" s="86" t="s">
        <v>120</v>
      </c>
      <c r="F195" s="86" t="s">
        <v>112</v>
      </c>
      <c r="G195" s="86">
        <v>14</v>
      </c>
      <c r="H195" s="86">
        <v>521</v>
      </c>
      <c r="I195" s="86">
        <v>974</v>
      </c>
      <c r="J195" s="87">
        <v>7294</v>
      </c>
      <c r="K195" s="87">
        <v>13636</v>
      </c>
      <c r="L195" s="87">
        <v>6342</v>
      </c>
      <c r="M195" s="87" t="s">
        <v>116</v>
      </c>
    </row>
    <row r="196" spans="1:13" ht="15.6" thickTop="1" thickBot="1" x14ac:dyDescent="0.35">
      <c r="A196" s="85">
        <v>45659</v>
      </c>
      <c r="B196" s="86" t="s">
        <v>184</v>
      </c>
      <c r="C196" s="86" t="s">
        <v>109</v>
      </c>
      <c r="D196" s="86" t="s">
        <v>110</v>
      </c>
      <c r="E196" s="86" t="s">
        <v>120</v>
      </c>
      <c r="F196" s="86" t="s">
        <v>112</v>
      </c>
      <c r="G196" s="86">
        <v>19</v>
      </c>
      <c r="H196" s="86">
        <v>608</v>
      </c>
      <c r="I196" s="86">
        <v>1032</v>
      </c>
      <c r="J196" s="87">
        <v>11552</v>
      </c>
      <c r="K196" s="87">
        <v>19608</v>
      </c>
      <c r="L196" s="87">
        <v>8056</v>
      </c>
      <c r="M196" s="87" t="s">
        <v>116</v>
      </c>
    </row>
    <row r="197" spans="1:13" ht="15.6" thickTop="1" thickBot="1" x14ac:dyDescent="0.35">
      <c r="A197" s="85">
        <v>45614</v>
      </c>
      <c r="B197" s="86" t="s">
        <v>261</v>
      </c>
      <c r="C197" s="86" t="s">
        <v>139</v>
      </c>
      <c r="D197" s="86" t="s">
        <v>154</v>
      </c>
      <c r="E197" s="86" t="s">
        <v>129</v>
      </c>
      <c r="F197" s="86" t="s">
        <v>112</v>
      </c>
      <c r="G197" s="86">
        <v>23</v>
      </c>
      <c r="H197" s="86">
        <v>906</v>
      </c>
      <c r="I197" s="86">
        <v>1275</v>
      </c>
      <c r="J197" s="87">
        <v>20838</v>
      </c>
      <c r="K197" s="87">
        <v>29325</v>
      </c>
      <c r="L197" s="87">
        <v>8487</v>
      </c>
      <c r="M197" s="87" t="s">
        <v>116</v>
      </c>
    </row>
    <row r="198" spans="1:13" ht="15.6" thickTop="1" thickBot="1" x14ac:dyDescent="0.35">
      <c r="A198" s="85">
        <v>45395</v>
      </c>
      <c r="B198" s="86" t="s">
        <v>138</v>
      </c>
      <c r="C198" s="86" t="s">
        <v>139</v>
      </c>
      <c r="D198" s="86" t="s">
        <v>140</v>
      </c>
      <c r="E198" s="86" t="s">
        <v>137</v>
      </c>
      <c r="F198" s="86" t="s">
        <v>112</v>
      </c>
      <c r="G198" s="86">
        <v>29</v>
      </c>
      <c r="H198" s="86">
        <v>951</v>
      </c>
      <c r="I198" s="86">
        <v>1268</v>
      </c>
      <c r="J198" s="87">
        <v>27579</v>
      </c>
      <c r="K198" s="87">
        <v>36772</v>
      </c>
      <c r="L198" s="87">
        <v>9193</v>
      </c>
      <c r="M198" s="87" t="s">
        <v>116</v>
      </c>
    </row>
    <row r="199" spans="1:13" ht="15.6" thickTop="1" thickBot="1" x14ac:dyDescent="0.35">
      <c r="A199" s="85">
        <v>45395</v>
      </c>
      <c r="B199" s="86" t="s">
        <v>138</v>
      </c>
      <c r="C199" s="86" t="s">
        <v>139</v>
      </c>
      <c r="D199" s="86" t="s">
        <v>140</v>
      </c>
      <c r="E199" s="86" t="s">
        <v>137</v>
      </c>
      <c r="F199" s="86" t="s">
        <v>112</v>
      </c>
      <c r="G199" s="86">
        <v>22</v>
      </c>
      <c r="H199" s="86">
        <v>692</v>
      </c>
      <c r="I199" s="86">
        <v>906</v>
      </c>
      <c r="J199" s="87">
        <v>15224</v>
      </c>
      <c r="K199" s="87">
        <v>19932</v>
      </c>
      <c r="L199" s="87">
        <v>4708</v>
      </c>
      <c r="M199" s="87" t="s">
        <v>116</v>
      </c>
    </row>
    <row r="200" spans="1:13" ht="15.6" thickTop="1" thickBot="1" x14ac:dyDescent="0.35">
      <c r="A200" s="85">
        <v>45586</v>
      </c>
      <c r="B200" s="86" t="s">
        <v>230</v>
      </c>
      <c r="C200" s="86" t="s">
        <v>109</v>
      </c>
      <c r="D200" s="86" t="s">
        <v>131</v>
      </c>
      <c r="E200" s="86" t="s">
        <v>133</v>
      </c>
      <c r="F200" s="86" t="s">
        <v>112</v>
      </c>
      <c r="G200" s="86">
        <v>19</v>
      </c>
      <c r="H200" s="86">
        <v>589</v>
      </c>
      <c r="I200" s="86">
        <v>1100</v>
      </c>
      <c r="J200" s="87">
        <v>11191</v>
      </c>
      <c r="K200" s="87">
        <v>20900</v>
      </c>
      <c r="L200" s="87">
        <v>9709</v>
      </c>
      <c r="M200" s="87" t="s">
        <v>116</v>
      </c>
    </row>
    <row r="201" spans="1:13" ht="15.6" thickTop="1" thickBot="1" x14ac:dyDescent="0.35">
      <c r="A201" s="85">
        <v>45510</v>
      </c>
      <c r="B201" s="86" t="s">
        <v>149</v>
      </c>
      <c r="C201" s="86" t="s">
        <v>109</v>
      </c>
      <c r="D201" s="86" t="s">
        <v>131</v>
      </c>
      <c r="E201" s="86" t="s">
        <v>137</v>
      </c>
      <c r="F201" s="86" t="s">
        <v>112</v>
      </c>
      <c r="G201" s="86">
        <v>10</v>
      </c>
      <c r="H201" s="86">
        <v>754</v>
      </c>
      <c r="I201" s="86">
        <v>982</v>
      </c>
      <c r="J201" s="87">
        <v>7540</v>
      </c>
      <c r="K201" s="87">
        <v>9820</v>
      </c>
      <c r="L201" s="87">
        <v>2280</v>
      </c>
      <c r="M201" s="87" t="s">
        <v>116</v>
      </c>
    </row>
    <row r="202" spans="1:13" ht="15.6" thickTop="1" thickBot="1" x14ac:dyDescent="0.35">
      <c r="A202" s="85">
        <v>45510</v>
      </c>
      <c r="B202" s="86" t="s">
        <v>149</v>
      </c>
      <c r="C202" s="86" t="s">
        <v>109</v>
      </c>
      <c r="D202" s="86" t="s">
        <v>131</v>
      </c>
      <c r="E202" s="86" t="s">
        <v>137</v>
      </c>
      <c r="F202" s="86" t="s">
        <v>112</v>
      </c>
      <c r="G202" s="86">
        <v>11</v>
      </c>
      <c r="H202" s="86">
        <v>830</v>
      </c>
      <c r="I202" s="86">
        <v>1386</v>
      </c>
      <c r="J202" s="87">
        <v>9130</v>
      </c>
      <c r="K202" s="87">
        <v>15246</v>
      </c>
      <c r="L202" s="87">
        <v>6116</v>
      </c>
      <c r="M202" s="87" t="s">
        <v>116</v>
      </c>
    </row>
    <row r="203" spans="1:13" ht="15.6" thickTop="1" thickBot="1" x14ac:dyDescent="0.35">
      <c r="A203" s="85">
        <v>45510</v>
      </c>
      <c r="B203" s="86" t="s">
        <v>149</v>
      </c>
      <c r="C203" s="86" t="s">
        <v>109</v>
      </c>
      <c r="D203" s="86" t="s">
        <v>131</v>
      </c>
      <c r="E203" s="86" t="s">
        <v>137</v>
      </c>
      <c r="F203" s="86" t="s">
        <v>112</v>
      </c>
      <c r="G203" s="86">
        <v>10</v>
      </c>
      <c r="H203" s="86">
        <v>844</v>
      </c>
      <c r="I203" s="86">
        <v>865</v>
      </c>
      <c r="J203" s="87">
        <v>8440</v>
      </c>
      <c r="K203" s="87">
        <v>8650</v>
      </c>
      <c r="L203" s="87">
        <v>210</v>
      </c>
      <c r="M203" s="87" t="s">
        <v>116</v>
      </c>
    </row>
    <row r="204" spans="1:13" ht="15.6" thickTop="1" thickBot="1" x14ac:dyDescent="0.35">
      <c r="A204" s="85">
        <v>45429</v>
      </c>
      <c r="B204" s="86" t="s">
        <v>264</v>
      </c>
      <c r="C204" s="86" t="s">
        <v>139</v>
      </c>
      <c r="D204" s="86" t="s">
        <v>205</v>
      </c>
      <c r="E204" s="86" t="s">
        <v>129</v>
      </c>
      <c r="F204" s="86" t="s">
        <v>123</v>
      </c>
      <c r="G204" s="86">
        <v>25</v>
      </c>
      <c r="H204" s="86">
        <v>877</v>
      </c>
      <c r="I204" s="86">
        <v>797</v>
      </c>
      <c r="J204" s="87">
        <v>21925</v>
      </c>
      <c r="K204" s="87">
        <v>19925</v>
      </c>
      <c r="L204" s="87">
        <v>-2000</v>
      </c>
      <c r="M204" s="87" t="s">
        <v>113</v>
      </c>
    </row>
    <row r="205" spans="1:13" ht="15.6" thickTop="1" thickBot="1" x14ac:dyDescent="0.35">
      <c r="A205" s="85">
        <v>45429</v>
      </c>
      <c r="B205" s="86" t="s">
        <v>264</v>
      </c>
      <c r="C205" s="86" t="s">
        <v>139</v>
      </c>
      <c r="D205" s="86" t="s">
        <v>205</v>
      </c>
      <c r="E205" s="86" t="s">
        <v>129</v>
      </c>
      <c r="F205" s="86" t="s">
        <v>123</v>
      </c>
      <c r="G205" s="86">
        <v>27</v>
      </c>
      <c r="H205" s="86">
        <v>913</v>
      </c>
      <c r="I205" s="86">
        <v>1197</v>
      </c>
      <c r="J205" s="87">
        <v>24651</v>
      </c>
      <c r="K205" s="87">
        <v>32319</v>
      </c>
      <c r="L205" s="87">
        <v>7668</v>
      </c>
      <c r="M205" s="87" t="s">
        <v>116</v>
      </c>
    </row>
    <row r="206" spans="1:13" ht="15.6" thickTop="1" thickBot="1" x14ac:dyDescent="0.35">
      <c r="A206" s="85">
        <v>45429</v>
      </c>
      <c r="B206" s="86" t="s">
        <v>264</v>
      </c>
      <c r="C206" s="86" t="s">
        <v>139</v>
      </c>
      <c r="D206" s="86" t="s">
        <v>205</v>
      </c>
      <c r="E206" s="86" t="s">
        <v>129</v>
      </c>
      <c r="F206" s="86" t="s">
        <v>123</v>
      </c>
      <c r="G206" s="86">
        <v>30</v>
      </c>
      <c r="H206" s="86">
        <v>709</v>
      </c>
      <c r="I206" s="86">
        <v>1209</v>
      </c>
      <c r="J206" s="87">
        <v>21270</v>
      </c>
      <c r="K206" s="87">
        <v>36270</v>
      </c>
      <c r="L206" s="87">
        <v>15000</v>
      </c>
      <c r="M206" s="87" t="s">
        <v>116</v>
      </c>
    </row>
    <row r="207" spans="1:13" ht="15.6" thickTop="1" thickBot="1" x14ac:dyDescent="0.35">
      <c r="A207" s="85">
        <v>45619</v>
      </c>
      <c r="B207" s="86" t="s">
        <v>308</v>
      </c>
      <c r="C207" s="86" t="s">
        <v>139</v>
      </c>
      <c r="D207" s="86" t="s">
        <v>154</v>
      </c>
      <c r="E207" s="86" t="s">
        <v>137</v>
      </c>
      <c r="F207" s="86" t="s">
        <v>123</v>
      </c>
      <c r="G207" s="86">
        <v>22</v>
      </c>
      <c r="H207" s="86">
        <v>524</v>
      </c>
      <c r="I207" s="86">
        <v>1156</v>
      </c>
      <c r="J207" s="87">
        <v>11528</v>
      </c>
      <c r="K207" s="87">
        <v>25432</v>
      </c>
      <c r="L207" s="87">
        <v>13904</v>
      </c>
      <c r="M207" s="87" t="s">
        <v>116</v>
      </c>
    </row>
    <row r="208" spans="1:13" ht="15.6" thickTop="1" thickBot="1" x14ac:dyDescent="0.35">
      <c r="A208" s="85">
        <v>45619</v>
      </c>
      <c r="B208" s="86" t="s">
        <v>308</v>
      </c>
      <c r="C208" s="86" t="s">
        <v>139</v>
      </c>
      <c r="D208" s="86" t="s">
        <v>154</v>
      </c>
      <c r="E208" s="86" t="s">
        <v>137</v>
      </c>
      <c r="F208" s="86" t="s">
        <v>123</v>
      </c>
      <c r="G208" s="86">
        <v>28</v>
      </c>
      <c r="H208" s="86">
        <v>665</v>
      </c>
      <c r="I208" s="86">
        <v>1467</v>
      </c>
      <c r="J208" s="87">
        <v>18620</v>
      </c>
      <c r="K208" s="87">
        <v>41076</v>
      </c>
      <c r="L208" s="87">
        <v>22456</v>
      </c>
      <c r="M208" s="87" t="s">
        <v>116</v>
      </c>
    </row>
    <row r="209" spans="1:13" ht="15.6" thickTop="1" thickBot="1" x14ac:dyDescent="0.35">
      <c r="A209" s="85">
        <v>45619</v>
      </c>
      <c r="B209" s="86" t="s">
        <v>308</v>
      </c>
      <c r="C209" s="86" t="s">
        <v>139</v>
      </c>
      <c r="D209" s="86" t="s">
        <v>154</v>
      </c>
      <c r="E209" s="86" t="s">
        <v>137</v>
      </c>
      <c r="F209" s="86" t="s">
        <v>123</v>
      </c>
      <c r="G209" s="86">
        <v>28</v>
      </c>
      <c r="H209" s="86">
        <v>858</v>
      </c>
      <c r="I209" s="86">
        <v>1113</v>
      </c>
      <c r="J209" s="87">
        <v>24024</v>
      </c>
      <c r="K209" s="87">
        <v>31164</v>
      </c>
      <c r="L209" s="87">
        <v>7140</v>
      </c>
      <c r="M209" s="87" t="s">
        <v>116</v>
      </c>
    </row>
    <row r="210" spans="1:13" ht="15.6" thickTop="1" thickBot="1" x14ac:dyDescent="0.35">
      <c r="A210" s="85">
        <v>45571</v>
      </c>
      <c r="B210" s="86" t="s">
        <v>217</v>
      </c>
      <c r="C210" s="86" t="s">
        <v>127</v>
      </c>
      <c r="D210" s="86" t="s">
        <v>186</v>
      </c>
      <c r="E210" s="86" t="s">
        <v>137</v>
      </c>
      <c r="F210" s="86" t="s">
        <v>112</v>
      </c>
      <c r="G210" s="86">
        <v>92</v>
      </c>
      <c r="H210" s="86">
        <v>923</v>
      </c>
      <c r="I210" s="86">
        <v>1151</v>
      </c>
      <c r="J210" s="87">
        <v>84916</v>
      </c>
      <c r="K210" s="87">
        <v>105892</v>
      </c>
      <c r="L210" s="87">
        <v>20976</v>
      </c>
      <c r="M210" s="87" t="s">
        <v>116</v>
      </c>
    </row>
    <row r="211" spans="1:13" ht="15.6" thickTop="1" thickBot="1" x14ac:dyDescent="0.35">
      <c r="A211" s="85">
        <v>45702</v>
      </c>
      <c r="B211" s="86" t="s">
        <v>337</v>
      </c>
      <c r="C211" s="86" t="s">
        <v>127</v>
      </c>
      <c r="D211" s="86" t="s">
        <v>186</v>
      </c>
      <c r="E211" s="86" t="s">
        <v>155</v>
      </c>
      <c r="F211" s="86" t="s">
        <v>112</v>
      </c>
      <c r="G211" s="86">
        <v>55</v>
      </c>
      <c r="H211" s="86">
        <v>856</v>
      </c>
      <c r="I211" s="86">
        <v>756</v>
      </c>
      <c r="J211" s="87">
        <v>47080</v>
      </c>
      <c r="K211" s="87">
        <v>41580</v>
      </c>
      <c r="L211" s="87">
        <v>-5500</v>
      </c>
      <c r="M211" s="87" t="s">
        <v>113</v>
      </c>
    </row>
    <row r="212" spans="1:13" ht="15.6" thickTop="1" thickBot="1" x14ac:dyDescent="0.35">
      <c r="A212" s="85">
        <v>45408</v>
      </c>
      <c r="B212" s="90" t="s">
        <v>235</v>
      </c>
      <c r="C212" s="86" t="s">
        <v>139</v>
      </c>
      <c r="D212" s="86" t="s">
        <v>154</v>
      </c>
      <c r="E212" s="86" t="s">
        <v>133</v>
      </c>
      <c r="F212" s="86" t="s">
        <v>112</v>
      </c>
      <c r="G212" s="86">
        <v>22</v>
      </c>
      <c r="H212" s="86">
        <v>822</v>
      </c>
      <c r="I212" s="86">
        <v>1153</v>
      </c>
      <c r="J212" s="87">
        <v>18084</v>
      </c>
      <c r="K212" s="87">
        <v>25366</v>
      </c>
      <c r="L212" s="87">
        <v>7282</v>
      </c>
      <c r="M212" s="87" t="s">
        <v>116</v>
      </c>
    </row>
    <row r="213" spans="1:13" ht="15.6" thickTop="1" thickBot="1" x14ac:dyDescent="0.35">
      <c r="A213" s="85">
        <v>45408</v>
      </c>
      <c r="B213" s="86" t="s">
        <v>235</v>
      </c>
      <c r="C213" s="86" t="s">
        <v>139</v>
      </c>
      <c r="D213" s="86" t="s">
        <v>154</v>
      </c>
      <c r="E213" s="86" t="s">
        <v>133</v>
      </c>
      <c r="F213" s="86" t="s">
        <v>112</v>
      </c>
      <c r="G213" s="86">
        <v>29</v>
      </c>
      <c r="H213" s="86">
        <v>952</v>
      </c>
      <c r="I213" s="86">
        <v>1428</v>
      </c>
      <c r="J213" s="87">
        <v>27608</v>
      </c>
      <c r="K213" s="87">
        <v>41412</v>
      </c>
      <c r="L213" s="87">
        <v>13804</v>
      </c>
      <c r="M213" s="87" t="s">
        <v>116</v>
      </c>
    </row>
    <row r="214" spans="1:13" ht="15.6" thickTop="1" thickBot="1" x14ac:dyDescent="0.35">
      <c r="A214" s="85">
        <v>45408</v>
      </c>
      <c r="B214" s="86" t="s">
        <v>235</v>
      </c>
      <c r="C214" s="86" t="s">
        <v>139</v>
      </c>
      <c r="D214" s="86" t="s">
        <v>154</v>
      </c>
      <c r="E214" s="86" t="s">
        <v>133</v>
      </c>
      <c r="F214" s="86" t="s">
        <v>112</v>
      </c>
      <c r="G214" s="86">
        <v>24</v>
      </c>
      <c r="H214" s="86">
        <v>826</v>
      </c>
      <c r="I214" s="86">
        <v>975</v>
      </c>
      <c r="J214" s="87">
        <v>19824</v>
      </c>
      <c r="K214" s="87">
        <v>23400</v>
      </c>
      <c r="L214" s="87">
        <v>3576</v>
      </c>
      <c r="M214" s="87" t="s">
        <v>116</v>
      </c>
    </row>
    <row r="215" spans="1:13" ht="15.6" thickTop="1" thickBot="1" x14ac:dyDescent="0.35">
      <c r="A215" s="85">
        <v>45459</v>
      </c>
      <c r="B215" s="86" t="s">
        <v>121</v>
      </c>
      <c r="C215" s="86" t="s">
        <v>109</v>
      </c>
      <c r="D215" s="86" t="s">
        <v>110</v>
      </c>
      <c r="E215" s="86" t="s">
        <v>122</v>
      </c>
      <c r="F215" s="86" t="s">
        <v>123</v>
      </c>
      <c r="G215" s="86">
        <v>14</v>
      </c>
      <c r="H215" s="86">
        <v>906</v>
      </c>
      <c r="I215" s="86">
        <v>1327</v>
      </c>
      <c r="J215" s="87">
        <v>12684</v>
      </c>
      <c r="K215" s="87">
        <v>18578</v>
      </c>
      <c r="L215" s="87">
        <v>5894</v>
      </c>
      <c r="M215" s="87" t="s">
        <v>116</v>
      </c>
    </row>
    <row r="216" spans="1:13" ht="15.6" thickTop="1" thickBot="1" x14ac:dyDescent="0.35">
      <c r="A216" s="85">
        <v>45459</v>
      </c>
      <c r="B216" s="86" t="s">
        <v>121</v>
      </c>
      <c r="C216" s="86" t="s">
        <v>109</v>
      </c>
      <c r="D216" s="86" t="s">
        <v>110</v>
      </c>
      <c r="E216" s="86" t="s">
        <v>122</v>
      </c>
      <c r="F216" s="86" t="s">
        <v>123</v>
      </c>
      <c r="G216" s="86">
        <v>17</v>
      </c>
      <c r="H216" s="86">
        <v>787</v>
      </c>
      <c r="I216" s="86">
        <v>1108</v>
      </c>
      <c r="J216" s="87">
        <v>13379</v>
      </c>
      <c r="K216" s="87">
        <v>18836</v>
      </c>
      <c r="L216" s="87">
        <v>5457</v>
      </c>
      <c r="M216" s="87" t="s">
        <v>116</v>
      </c>
    </row>
    <row r="217" spans="1:13" ht="15.6" thickTop="1" thickBot="1" x14ac:dyDescent="0.35">
      <c r="A217" s="85">
        <v>45637</v>
      </c>
      <c r="B217" s="86" t="s">
        <v>283</v>
      </c>
      <c r="C217" s="86" t="s">
        <v>127</v>
      </c>
      <c r="D217" s="86" t="s">
        <v>186</v>
      </c>
      <c r="E217" s="86" t="s">
        <v>115</v>
      </c>
      <c r="F217" s="86" t="s">
        <v>123</v>
      </c>
      <c r="G217" s="86">
        <v>66</v>
      </c>
      <c r="H217" s="86">
        <v>888</v>
      </c>
      <c r="I217" s="86">
        <v>809</v>
      </c>
      <c r="J217" s="87">
        <v>58608</v>
      </c>
      <c r="K217" s="87">
        <v>53394</v>
      </c>
      <c r="L217" s="87">
        <v>-5214</v>
      </c>
      <c r="M217" s="87" t="s">
        <v>113</v>
      </c>
    </row>
    <row r="218" spans="1:13" ht="15.6" thickTop="1" thickBot="1" x14ac:dyDescent="0.35">
      <c r="A218" s="85">
        <v>45685</v>
      </c>
      <c r="B218" s="86" t="s">
        <v>197</v>
      </c>
      <c r="C218" s="86" t="s">
        <v>109</v>
      </c>
      <c r="D218" s="86" t="s">
        <v>131</v>
      </c>
      <c r="E218" s="86" t="s">
        <v>120</v>
      </c>
      <c r="F218" s="86" t="s">
        <v>123</v>
      </c>
      <c r="G218" s="86">
        <v>17</v>
      </c>
      <c r="H218" s="86">
        <v>593</v>
      </c>
      <c r="I218" s="86">
        <v>895</v>
      </c>
      <c r="J218" s="87">
        <v>10081</v>
      </c>
      <c r="K218" s="87">
        <v>15215</v>
      </c>
      <c r="L218" s="87">
        <v>5134</v>
      </c>
      <c r="M218" s="87" t="s">
        <v>116</v>
      </c>
    </row>
    <row r="219" spans="1:13" ht="15.6" thickTop="1" thickBot="1" x14ac:dyDescent="0.35">
      <c r="A219" s="85">
        <v>45685</v>
      </c>
      <c r="B219" s="86" t="s">
        <v>197</v>
      </c>
      <c r="C219" s="86" t="s">
        <v>109</v>
      </c>
      <c r="D219" s="86" t="s">
        <v>131</v>
      </c>
      <c r="E219" s="86" t="s">
        <v>120</v>
      </c>
      <c r="F219" s="86" t="s">
        <v>123</v>
      </c>
      <c r="G219" s="86">
        <v>12</v>
      </c>
      <c r="H219" s="86">
        <v>927</v>
      </c>
      <c r="I219" s="86">
        <v>1162</v>
      </c>
      <c r="J219" s="87">
        <v>11124</v>
      </c>
      <c r="K219" s="87">
        <v>13944</v>
      </c>
      <c r="L219" s="87">
        <v>2820</v>
      </c>
      <c r="M219" s="87" t="s">
        <v>116</v>
      </c>
    </row>
    <row r="220" spans="1:13" ht="15.6" thickTop="1" thickBot="1" x14ac:dyDescent="0.35">
      <c r="A220" s="85">
        <v>45386</v>
      </c>
      <c r="B220" s="86" t="s">
        <v>223</v>
      </c>
      <c r="C220" s="86" t="s">
        <v>139</v>
      </c>
      <c r="D220" s="86" t="s">
        <v>220</v>
      </c>
      <c r="E220" s="86" t="s">
        <v>155</v>
      </c>
      <c r="F220" s="86" t="s">
        <v>123</v>
      </c>
      <c r="G220" s="86">
        <v>26</v>
      </c>
      <c r="H220" s="86">
        <v>809</v>
      </c>
      <c r="I220" s="86">
        <v>800</v>
      </c>
      <c r="J220" s="87">
        <v>21034</v>
      </c>
      <c r="K220" s="87">
        <v>20800</v>
      </c>
      <c r="L220" s="87">
        <v>-234</v>
      </c>
      <c r="M220" s="87" t="s">
        <v>113</v>
      </c>
    </row>
    <row r="221" spans="1:13" ht="15.6" thickTop="1" thickBot="1" x14ac:dyDescent="0.35">
      <c r="A221" s="85">
        <v>45386</v>
      </c>
      <c r="B221" s="86" t="s">
        <v>223</v>
      </c>
      <c r="C221" s="86" t="s">
        <v>139</v>
      </c>
      <c r="D221" s="86" t="s">
        <v>220</v>
      </c>
      <c r="E221" s="86" t="s">
        <v>155</v>
      </c>
      <c r="F221" s="86" t="s">
        <v>123</v>
      </c>
      <c r="G221" s="86">
        <v>22</v>
      </c>
      <c r="H221" s="86">
        <v>785</v>
      </c>
      <c r="I221" s="86">
        <v>1292</v>
      </c>
      <c r="J221" s="87">
        <v>17270</v>
      </c>
      <c r="K221" s="87">
        <v>28424</v>
      </c>
      <c r="L221" s="87">
        <v>11154</v>
      </c>
      <c r="M221" s="87" t="s">
        <v>116</v>
      </c>
    </row>
    <row r="222" spans="1:13" ht="15.6" thickTop="1" thickBot="1" x14ac:dyDescent="0.35">
      <c r="A222" s="85">
        <v>45386</v>
      </c>
      <c r="B222" s="86" t="s">
        <v>223</v>
      </c>
      <c r="C222" s="86" t="s">
        <v>139</v>
      </c>
      <c r="D222" s="86" t="s">
        <v>220</v>
      </c>
      <c r="E222" s="86" t="s">
        <v>155</v>
      </c>
      <c r="F222" s="86" t="s">
        <v>123</v>
      </c>
      <c r="G222" s="86">
        <v>22</v>
      </c>
      <c r="H222" s="86">
        <v>718</v>
      </c>
      <c r="I222" s="86">
        <v>1335</v>
      </c>
      <c r="J222" s="87">
        <v>15796</v>
      </c>
      <c r="K222" s="87">
        <v>29370</v>
      </c>
      <c r="L222" s="87">
        <v>13574</v>
      </c>
      <c r="M222" s="87" t="s">
        <v>116</v>
      </c>
    </row>
    <row r="223" spans="1:13" ht="15.6" thickTop="1" thickBot="1" x14ac:dyDescent="0.35">
      <c r="A223" s="85">
        <v>45406</v>
      </c>
      <c r="B223" s="90" t="s">
        <v>233</v>
      </c>
      <c r="C223" s="86" t="s">
        <v>139</v>
      </c>
      <c r="D223" s="86" t="s">
        <v>154</v>
      </c>
      <c r="E223" s="86" t="s">
        <v>155</v>
      </c>
      <c r="F223" s="86" t="s">
        <v>123</v>
      </c>
      <c r="G223" s="86">
        <v>20</v>
      </c>
      <c r="H223" s="86">
        <v>606</v>
      </c>
      <c r="I223" s="86">
        <v>806</v>
      </c>
      <c r="J223" s="87">
        <v>12120</v>
      </c>
      <c r="K223" s="87">
        <v>16120</v>
      </c>
      <c r="L223" s="87">
        <v>4000</v>
      </c>
      <c r="M223" s="87" t="s">
        <v>116</v>
      </c>
    </row>
    <row r="224" spans="1:13" ht="15.6" thickTop="1" thickBot="1" x14ac:dyDescent="0.35">
      <c r="A224" s="85">
        <v>45406</v>
      </c>
      <c r="B224" s="86" t="s">
        <v>233</v>
      </c>
      <c r="C224" s="86" t="s">
        <v>139</v>
      </c>
      <c r="D224" s="86" t="s">
        <v>154</v>
      </c>
      <c r="E224" s="86" t="s">
        <v>155</v>
      </c>
      <c r="F224" s="86" t="s">
        <v>123</v>
      </c>
      <c r="G224" s="86">
        <v>23</v>
      </c>
      <c r="H224" s="86">
        <v>779</v>
      </c>
      <c r="I224" s="86">
        <v>1415</v>
      </c>
      <c r="J224" s="87">
        <v>17917</v>
      </c>
      <c r="K224" s="87">
        <v>32545</v>
      </c>
      <c r="L224" s="87">
        <v>14628</v>
      </c>
      <c r="M224" s="87" t="s">
        <v>116</v>
      </c>
    </row>
    <row r="225" spans="1:13" ht="15.6" thickTop="1" thickBot="1" x14ac:dyDescent="0.35">
      <c r="A225" s="85">
        <v>45406</v>
      </c>
      <c r="B225" s="86" t="s">
        <v>233</v>
      </c>
      <c r="C225" s="86" t="s">
        <v>139</v>
      </c>
      <c r="D225" s="86" t="s">
        <v>154</v>
      </c>
      <c r="E225" s="86" t="s">
        <v>155</v>
      </c>
      <c r="F225" s="86" t="s">
        <v>123</v>
      </c>
      <c r="G225" s="86">
        <v>26</v>
      </c>
      <c r="H225" s="86">
        <v>608</v>
      </c>
      <c r="I225" s="86">
        <v>1125</v>
      </c>
      <c r="J225" s="87">
        <v>15808</v>
      </c>
      <c r="K225" s="87">
        <v>29250</v>
      </c>
      <c r="L225" s="87">
        <v>13442</v>
      </c>
      <c r="M225" s="87" t="s">
        <v>116</v>
      </c>
    </row>
    <row r="226" spans="1:13" ht="15.6" thickTop="1" thickBot="1" x14ac:dyDescent="0.35">
      <c r="A226" s="85">
        <v>45430</v>
      </c>
      <c r="B226" s="86" t="s">
        <v>265</v>
      </c>
      <c r="C226" s="86" t="s">
        <v>139</v>
      </c>
      <c r="D226" s="86" t="s">
        <v>205</v>
      </c>
      <c r="E226" s="86" t="s">
        <v>137</v>
      </c>
      <c r="F226" s="86" t="s">
        <v>123</v>
      </c>
      <c r="G226" s="86">
        <v>26</v>
      </c>
      <c r="H226" s="86">
        <v>596</v>
      </c>
      <c r="I226" s="86">
        <v>1136</v>
      </c>
      <c r="J226" s="87">
        <v>15496</v>
      </c>
      <c r="K226" s="87">
        <v>29536</v>
      </c>
      <c r="L226" s="87">
        <v>14040</v>
      </c>
      <c r="M226" s="87" t="s">
        <v>116</v>
      </c>
    </row>
    <row r="227" spans="1:13" ht="15.6" thickTop="1" thickBot="1" x14ac:dyDescent="0.35">
      <c r="A227" s="85">
        <v>45430</v>
      </c>
      <c r="B227" s="86" t="s">
        <v>265</v>
      </c>
      <c r="C227" s="86" t="s">
        <v>139</v>
      </c>
      <c r="D227" s="86" t="s">
        <v>205</v>
      </c>
      <c r="E227" s="86" t="s">
        <v>137</v>
      </c>
      <c r="F227" s="86" t="s">
        <v>123</v>
      </c>
      <c r="G227" s="86">
        <v>29</v>
      </c>
      <c r="H227" s="86">
        <v>735</v>
      </c>
      <c r="I227" s="86">
        <v>1388</v>
      </c>
      <c r="J227" s="87">
        <v>21315</v>
      </c>
      <c r="K227" s="87">
        <v>40252</v>
      </c>
      <c r="L227" s="87">
        <v>18937</v>
      </c>
      <c r="M227" s="87" t="s">
        <v>116</v>
      </c>
    </row>
    <row r="228" spans="1:13" ht="15.6" thickTop="1" thickBot="1" x14ac:dyDescent="0.35">
      <c r="A228" s="85">
        <v>45430</v>
      </c>
      <c r="B228" s="86" t="s">
        <v>265</v>
      </c>
      <c r="C228" s="86" t="s">
        <v>139</v>
      </c>
      <c r="D228" s="86" t="s">
        <v>205</v>
      </c>
      <c r="E228" s="86" t="s">
        <v>137</v>
      </c>
      <c r="F228" s="86" t="s">
        <v>123</v>
      </c>
      <c r="G228" s="86">
        <v>23</v>
      </c>
      <c r="H228" s="86">
        <v>875</v>
      </c>
      <c r="I228" s="86">
        <v>843</v>
      </c>
      <c r="J228" s="87">
        <v>20125</v>
      </c>
      <c r="K228" s="87">
        <v>19389</v>
      </c>
      <c r="L228" s="87">
        <v>-736</v>
      </c>
      <c r="M228" s="87" t="s">
        <v>113</v>
      </c>
    </row>
    <row r="229" spans="1:13" ht="15.6" thickTop="1" thickBot="1" x14ac:dyDescent="0.35">
      <c r="A229" s="85">
        <v>45491</v>
      </c>
      <c r="B229" s="86" t="s">
        <v>272</v>
      </c>
      <c r="C229" s="86" t="s">
        <v>139</v>
      </c>
      <c r="D229" s="86" t="s">
        <v>205</v>
      </c>
      <c r="E229" s="86" t="s">
        <v>137</v>
      </c>
      <c r="F229" s="86" t="s">
        <v>112</v>
      </c>
      <c r="G229" s="86">
        <v>26</v>
      </c>
      <c r="H229" s="86">
        <v>656</v>
      </c>
      <c r="I229" s="86">
        <v>908</v>
      </c>
      <c r="J229" s="87">
        <v>17056</v>
      </c>
      <c r="K229" s="87">
        <v>23608</v>
      </c>
      <c r="L229" s="87">
        <v>6552</v>
      </c>
      <c r="M229" s="87" t="s">
        <v>116</v>
      </c>
    </row>
    <row r="230" spans="1:13" ht="15.6" thickTop="1" thickBot="1" x14ac:dyDescent="0.35">
      <c r="A230" s="85">
        <v>45491</v>
      </c>
      <c r="B230" s="86" t="s">
        <v>272</v>
      </c>
      <c r="C230" s="86" t="s">
        <v>139</v>
      </c>
      <c r="D230" s="86" t="s">
        <v>205</v>
      </c>
      <c r="E230" s="86" t="s">
        <v>137</v>
      </c>
      <c r="F230" s="86" t="s">
        <v>112</v>
      </c>
      <c r="G230" s="86">
        <v>25</v>
      </c>
      <c r="H230" s="86">
        <v>861</v>
      </c>
      <c r="I230" s="86">
        <v>843</v>
      </c>
      <c r="J230" s="87">
        <v>21525</v>
      </c>
      <c r="K230" s="87">
        <v>21075</v>
      </c>
      <c r="L230" s="87">
        <v>-450</v>
      </c>
      <c r="M230" s="87" t="s">
        <v>113</v>
      </c>
    </row>
    <row r="231" spans="1:13" ht="15.6" thickTop="1" thickBot="1" x14ac:dyDescent="0.35">
      <c r="A231" s="85">
        <v>45491</v>
      </c>
      <c r="B231" s="86" t="s">
        <v>272</v>
      </c>
      <c r="C231" s="86" t="s">
        <v>139</v>
      </c>
      <c r="D231" s="86" t="s">
        <v>205</v>
      </c>
      <c r="E231" s="86" t="s">
        <v>137</v>
      </c>
      <c r="F231" s="86" t="s">
        <v>112</v>
      </c>
      <c r="G231" s="86">
        <v>28</v>
      </c>
      <c r="H231" s="86">
        <v>588</v>
      </c>
      <c r="I231" s="86">
        <v>784</v>
      </c>
      <c r="J231" s="87">
        <v>16464</v>
      </c>
      <c r="K231" s="87">
        <v>21952</v>
      </c>
      <c r="L231" s="87">
        <v>5488</v>
      </c>
      <c r="M231" s="87" t="s">
        <v>116</v>
      </c>
    </row>
    <row r="232" spans="1:13" ht="15.6" thickTop="1" thickBot="1" x14ac:dyDescent="0.35">
      <c r="A232" s="85">
        <v>45515</v>
      </c>
      <c r="B232" s="91" t="s">
        <v>158</v>
      </c>
      <c r="C232" s="86" t="s">
        <v>109</v>
      </c>
      <c r="D232" s="86" t="s">
        <v>131</v>
      </c>
      <c r="E232" s="81" t="s">
        <v>137</v>
      </c>
      <c r="F232" s="86" t="s">
        <v>123</v>
      </c>
      <c r="G232" s="81">
        <v>10</v>
      </c>
      <c r="H232" s="86">
        <v>669</v>
      </c>
      <c r="I232" s="86">
        <v>1344</v>
      </c>
      <c r="J232" s="87">
        <v>6690</v>
      </c>
      <c r="K232" s="87">
        <v>13440</v>
      </c>
      <c r="L232" s="87">
        <v>6750</v>
      </c>
      <c r="M232" s="87" t="s">
        <v>116</v>
      </c>
    </row>
    <row r="233" spans="1:13" ht="15.6" thickTop="1" thickBot="1" x14ac:dyDescent="0.35">
      <c r="A233" s="85">
        <v>45515</v>
      </c>
      <c r="B233" s="86" t="s">
        <v>158</v>
      </c>
      <c r="C233" s="86" t="s">
        <v>109</v>
      </c>
      <c r="D233" s="86" t="s">
        <v>131</v>
      </c>
      <c r="E233" s="86" t="s">
        <v>137</v>
      </c>
      <c r="F233" s="86" t="s">
        <v>123</v>
      </c>
      <c r="G233" s="86">
        <v>12</v>
      </c>
      <c r="H233" s="86">
        <v>654</v>
      </c>
      <c r="I233" s="86">
        <v>788</v>
      </c>
      <c r="J233" s="87">
        <v>7848</v>
      </c>
      <c r="K233" s="87">
        <v>9456</v>
      </c>
      <c r="L233" s="87">
        <v>1608</v>
      </c>
      <c r="M233" s="87" t="s">
        <v>116</v>
      </c>
    </row>
    <row r="234" spans="1:13" ht="15.6" thickTop="1" thickBot="1" x14ac:dyDescent="0.35">
      <c r="A234" s="85">
        <v>45515</v>
      </c>
      <c r="B234" s="86" t="s">
        <v>158</v>
      </c>
      <c r="C234" s="86" t="s">
        <v>109</v>
      </c>
      <c r="D234" s="86" t="s">
        <v>131</v>
      </c>
      <c r="E234" s="86" t="s">
        <v>137</v>
      </c>
      <c r="F234" s="86" t="s">
        <v>123</v>
      </c>
      <c r="G234" s="86">
        <v>17</v>
      </c>
      <c r="H234" s="86">
        <v>671</v>
      </c>
      <c r="I234" s="86">
        <v>906</v>
      </c>
      <c r="J234" s="87">
        <v>11407</v>
      </c>
      <c r="K234" s="87">
        <v>15402</v>
      </c>
      <c r="L234" s="87">
        <v>3995</v>
      </c>
      <c r="M234" s="87" t="s">
        <v>116</v>
      </c>
    </row>
    <row r="235" spans="1:13" ht="15.6" thickTop="1" thickBot="1" x14ac:dyDescent="0.35">
      <c r="A235" s="85">
        <v>45473</v>
      </c>
      <c r="B235" s="86" t="s">
        <v>132</v>
      </c>
      <c r="C235" s="80" t="s">
        <v>109</v>
      </c>
      <c r="D235" s="86" t="s">
        <v>131</v>
      </c>
      <c r="E235" s="86" t="s">
        <v>133</v>
      </c>
      <c r="F235" s="86" t="s">
        <v>112</v>
      </c>
      <c r="G235" s="86">
        <v>20</v>
      </c>
      <c r="H235" s="81">
        <v>875</v>
      </c>
      <c r="I235" s="86">
        <v>911</v>
      </c>
      <c r="J235" s="87">
        <v>17500</v>
      </c>
      <c r="K235" s="87">
        <v>18220</v>
      </c>
      <c r="L235" s="87">
        <v>720</v>
      </c>
      <c r="M235" s="87" t="s">
        <v>116</v>
      </c>
    </row>
    <row r="236" spans="1:13" ht="15.6" thickTop="1" thickBot="1" x14ac:dyDescent="0.35">
      <c r="A236" s="85">
        <v>45473</v>
      </c>
      <c r="B236" s="86" t="s">
        <v>132</v>
      </c>
      <c r="C236" s="86" t="s">
        <v>109</v>
      </c>
      <c r="D236" s="86" t="s">
        <v>131</v>
      </c>
      <c r="E236" s="86" t="s">
        <v>133</v>
      </c>
      <c r="F236" s="86" t="s">
        <v>112</v>
      </c>
      <c r="G236" s="86">
        <v>11</v>
      </c>
      <c r="H236" s="86">
        <v>503</v>
      </c>
      <c r="I236" s="86">
        <v>762</v>
      </c>
      <c r="J236" s="87">
        <v>5533</v>
      </c>
      <c r="K236" s="87">
        <v>8382</v>
      </c>
      <c r="L236" s="87">
        <v>2849</v>
      </c>
      <c r="M236" s="87" t="s">
        <v>116</v>
      </c>
    </row>
    <row r="237" spans="1:13" ht="15.6" thickTop="1" thickBot="1" x14ac:dyDescent="0.35">
      <c r="A237" s="85">
        <v>45473</v>
      </c>
      <c r="B237" s="86" t="s">
        <v>132</v>
      </c>
      <c r="C237" s="86" t="s">
        <v>109</v>
      </c>
      <c r="D237" s="86" t="s">
        <v>131</v>
      </c>
      <c r="E237" s="86" t="s">
        <v>133</v>
      </c>
      <c r="F237" s="86" t="s">
        <v>112</v>
      </c>
      <c r="G237" s="86">
        <v>16</v>
      </c>
      <c r="H237" s="86">
        <v>911</v>
      </c>
      <c r="I237" s="86">
        <v>1299</v>
      </c>
      <c r="J237" s="87">
        <v>14576</v>
      </c>
      <c r="K237" s="87">
        <v>20784</v>
      </c>
      <c r="L237" s="87">
        <v>6208</v>
      </c>
      <c r="M237" s="87" t="s">
        <v>116</v>
      </c>
    </row>
    <row r="238" spans="1:13" ht="15.6" thickTop="1" thickBot="1" x14ac:dyDescent="0.35">
      <c r="A238" s="85">
        <v>45414</v>
      </c>
      <c r="B238" s="90" t="s">
        <v>243</v>
      </c>
      <c r="C238" s="86" t="s">
        <v>139</v>
      </c>
      <c r="D238" s="86" t="s">
        <v>154</v>
      </c>
      <c r="E238" s="86" t="s">
        <v>111</v>
      </c>
      <c r="F238" s="86" t="s">
        <v>123</v>
      </c>
      <c r="G238" s="86">
        <v>25</v>
      </c>
      <c r="H238" s="86">
        <v>909</v>
      </c>
      <c r="I238" s="86">
        <v>970</v>
      </c>
      <c r="J238" s="87">
        <v>22725</v>
      </c>
      <c r="K238" s="87">
        <v>24250</v>
      </c>
      <c r="L238" s="87">
        <v>1525</v>
      </c>
      <c r="M238" s="87" t="s">
        <v>116</v>
      </c>
    </row>
    <row r="239" spans="1:13" ht="15.6" thickTop="1" thickBot="1" x14ac:dyDescent="0.35">
      <c r="A239" s="85">
        <v>45414</v>
      </c>
      <c r="B239" s="86" t="s">
        <v>243</v>
      </c>
      <c r="C239" s="86" t="s">
        <v>139</v>
      </c>
      <c r="D239" s="86" t="s">
        <v>154</v>
      </c>
      <c r="E239" s="86" t="s">
        <v>111</v>
      </c>
      <c r="F239" s="86" t="s">
        <v>123</v>
      </c>
      <c r="G239" s="86">
        <v>21</v>
      </c>
      <c r="H239" s="86">
        <v>680</v>
      </c>
      <c r="I239" s="86">
        <v>1049</v>
      </c>
      <c r="J239" s="87">
        <v>14280</v>
      </c>
      <c r="K239" s="87">
        <v>22029</v>
      </c>
      <c r="L239" s="87">
        <v>7749</v>
      </c>
      <c r="M239" s="87" t="s">
        <v>116</v>
      </c>
    </row>
    <row r="240" spans="1:13" ht="15.6" thickTop="1" thickBot="1" x14ac:dyDescent="0.35">
      <c r="A240" s="85">
        <v>45414</v>
      </c>
      <c r="B240" s="86" t="s">
        <v>243</v>
      </c>
      <c r="C240" s="86" t="s">
        <v>139</v>
      </c>
      <c r="D240" s="86" t="s">
        <v>154</v>
      </c>
      <c r="E240" s="86" t="s">
        <v>111</v>
      </c>
      <c r="F240" s="86" t="s">
        <v>123</v>
      </c>
      <c r="G240" s="86">
        <v>27</v>
      </c>
      <c r="H240" s="86">
        <v>794</v>
      </c>
      <c r="I240" s="86">
        <v>905</v>
      </c>
      <c r="J240" s="87">
        <v>21438</v>
      </c>
      <c r="K240" s="87">
        <v>24435</v>
      </c>
      <c r="L240" s="87">
        <v>2997</v>
      </c>
      <c r="M240" s="87" t="s">
        <v>116</v>
      </c>
    </row>
    <row r="241" spans="1:13" ht="15.6" thickTop="1" thickBot="1" x14ac:dyDescent="0.35">
      <c r="A241" s="85">
        <v>45696</v>
      </c>
      <c r="B241" s="86" t="s">
        <v>333</v>
      </c>
      <c r="C241" s="86" t="s">
        <v>139</v>
      </c>
      <c r="D241" s="86" t="s">
        <v>205</v>
      </c>
      <c r="E241" s="86" t="s">
        <v>120</v>
      </c>
      <c r="F241" s="86" t="s">
        <v>123</v>
      </c>
      <c r="G241" s="86">
        <v>23</v>
      </c>
      <c r="H241" s="86">
        <v>701</v>
      </c>
      <c r="I241" s="86">
        <v>1322</v>
      </c>
      <c r="J241" s="87">
        <v>16123</v>
      </c>
      <c r="K241" s="87">
        <v>30406</v>
      </c>
      <c r="L241" s="87">
        <v>14283</v>
      </c>
      <c r="M241" s="87" t="s">
        <v>116</v>
      </c>
    </row>
    <row r="242" spans="1:13" ht="15.6" thickTop="1" thickBot="1" x14ac:dyDescent="0.35">
      <c r="A242" s="85">
        <v>45696</v>
      </c>
      <c r="B242" s="86" t="s">
        <v>333</v>
      </c>
      <c r="C242" s="86" t="s">
        <v>139</v>
      </c>
      <c r="D242" s="86" t="s">
        <v>205</v>
      </c>
      <c r="E242" s="86" t="s">
        <v>120</v>
      </c>
      <c r="F242" s="86" t="s">
        <v>123</v>
      </c>
      <c r="G242" s="86">
        <v>22</v>
      </c>
      <c r="H242" s="86">
        <v>719</v>
      </c>
      <c r="I242" s="86">
        <v>1079</v>
      </c>
      <c r="J242" s="87">
        <v>15818</v>
      </c>
      <c r="K242" s="87">
        <v>23738</v>
      </c>
      <c r="L242" s="87">
        <v>7920</v>
      </c>
      <c r="M242" s="87" t="s">
        <v>116</v>
      </c>
    </row>
    <row r="243" spans="1:13" ht="15.6" thickTop="1" thickBot="1" x14ac:dyDescent="0.35">
      <c r="A243" s="85">
        <v>45671</v>
      </c>
      <c r="B243" s="86" t="s">
        <v>316</v>
      </c>
      <c r="C243" s="86" t="s">
        <v>127</v>
      </c>
      <c r="D243" s="86" t="s">
        <v>207</v>
      </c>
      <c r="E243" s="86" t="s">
        <v>151</v>
      </c>
      <c r="F243" s="86" t="s">
        <v>123</v>
      </c>
      <c r="G243" s="86">
        <v>56</v>
      </c>
      <c r="H243" s="86">
        <v>685</v>
      </c>
      <c r="I243" s="86">
        <v>771</v>
      </c>
      <c r="J243" s="87">
        <v>38360</v>
      </c>
      <c r="K243" s="87">
        <v>43176</v>
      </c>
      <c r="L243" s="87">
        <v>4816</v>
      </c>
      <c r="M243" s="87" t="s">
        <v>116</v>
      </c>
    </row>
    <row r="244" spans="1:13" ht="15.6" thickTop="1" thickBot="1" x14ac:dyDescent="0.35">
      <c r="A244" s="85">
        <v>45587</v>
      </c>
      <c r="B244" s="86" t="s">
        <v>183</v>
      </c>
      <c r="C244" s="80" t="s">
        <v>109</v>
      </c>
      <c r="D244" s="86" t="s">
        <v>131</v>
      </c>
      <c r="E244" s="86" t="s">
        <v>155</v>
      </c>
      <c r="F244" s="86" t="s">
        <v>112</v>
      </c>
      <c r="G244" s="86">
        <v>19</v>
      </c>
      <c r="H244" s="86">
        <v>578</v>
      </c>
      <c r="I244" s="86">
        <v>1434</v>
      </c>
      <c r="J244" s="87">
        <v>10982</v>
      </c>
      <c r="K244" s="87">
        <v>27246</v>
      </c>
      <c r="L244" s="87">
        <v>16264</v>
      </c>
      <c r="M244" s="87" t="s">
        <v>116</v>
      </c>
    </row>
    <row r="245" spans="1:13" ht="15.6" thickTop="1" thickBot="1" x14ac:dyDescent="0.35">
      <c r="A245" s="85">
        <v>45587</v>
      </c>
      <c r="B245" s="86" t="s">
        <v>183</v>
      </c>
      <c r="C245" s="86" t="s">
        <v>109</v>
      </c>
      <c r="D245" s="86" t="s">
        <v>131</v>
      </c>
      <c r="E245" s="86" t="s">
        <v>155</v>
      </c>
      <c r="F245" s="86" t="s">
        <v>112</v>
      </c>
      <c r="G245" s="86">
        <v>14</v>
      </c>
      <c r="H245" s="86">
        <v>777</v>
      </c>
      <c r="I245" s="86">
        <v>1192</v>
      </c>
      <c r="J245" s="87">
        <v>10878</v>
      </c>
      <c r="K245" s="87">
        <v>16688</v>
      </c>
      <c r="L245" s="87">
        <v>5810</v>
      </c>
      <c r="M245" s="87" t="s">
        <v>116</v>
      </c>
    </row>
    <row r="246" spans="1:13" ht="15.6" thickTop="1" thickBot="1" x14ac:dyDescent="0.35">
      <c r="A246" s="85">
        <v>45587</v>
      </c>
      <c r="B246" s="86" t="s">
        <v>183</v>
      </c>
      <c r="C246" s="86" t="s">
        <v>109</v>
      </c>
      <c r="D246" s="86" t="s">
        <v>131</v>
      </c>
      <c r="E246" s="86" t="s">
        <v>155</v>
      </c>
      <c r="F246" s="86" t="s">
        <v>112</v>
      </c>
      <c r="G246" s="86">
        <v>14</v>
      </c>
      <c r="H246" s="86">
        <v>799</v>
      </c>
      <c r="I246" s="86">
        <v>1154</v>
      </c>
      <c r="J246" s="87">
        <v>11186</v>
      </c>
      <c r="K246" s="87">
        <v>16156</v>
      </c>
      <c r="L246" s="87">
        <v>4970</v>
      </c>
      <c r="M246" s="87" t="s">
        <v>116</v>
      </c>
    </row>
    <row r="247" spans="1:13" ht="15.6" thickTop="1" thickBot="1" x14ac:dyDescent="0.35">
      <c r="A247" s="85">
        <v>45514</v>
      </c>
      <c r="B247" s="86" t="s">
        <v>156</v>
      </c>
      <c r="C247" s="86" t="s">
        <v>109</v>
      </c>
      <c r="D247" s="86" t="s">
        <v>131</v>
      </c>
      <c r="E247" s="86" t="s">
        <v>133</v>
      </c>
      <c r="F247" s="86" t="s">
        <v>112</v>
      </c>
      <c r="G247" s="91">
        <v>19</v>
      </c>
      <c r="H247" s="86">
        <v>744</v>
      </c>
      <c r="I247" s="86">
        <v>1433</v>
      </c>
      <c r="J247" s="87">
        <v>14136</v>
      </c>
      <c r="K247" s="87">
        <v>27227</v>
      </c>
      <c r="L247" s="87">
        <v>13091</v>
      </c>
      <c r="M247" s="87" t="s">
        <v>116</v>
      </c>
    </row>
    <row r="248" spans="1:13" ht="15.6" thickTop="1" thickBot="1" x14ac:dyDescent="0.35">
      <c r="A248" s="85">
        <v>45514</v>
      </c>
      <c r="B248" s="86" t="s">
        <v>156</v>
      </c>
      <c r="C248" s="86" t="s">
        <v>109</v>
      </c>
      <c r="D248" s="81" t="s">
        <v>131</v>
      </c>
      <c r="E248" s="86" t="s">
        <v>133</v>
      </c>
      <c r="F248" s="81" t="s">
        <v>112</v>
      </c>
      <c r="G248" s="86">
        <v>11</v>
      </c>
      <c r="H248" s="86">
        <v>622</v>
      </c>
      <c r="I248" s="86">
        <v>767</v>
      </c>
      <c r="J248" s="87">
        <v>6842</v>
      </c>
      <c r="K248" s="87">
        <v>8437</v>
      </c>
      <c r="L248" s="87">
        <v>1595</v>
      </c>
      <c r="M248" s="87" t="s">
        <v>116</v>
      </c>
    </row>
    <row r="249" spans="1:13" ht="15.6" thickTop="1" thickBot="1" x14ac:dyDescent="0.35">
      <c r="A249" s="85">
        <v>45552</v>
      </c>
      <c r="B249" s="86" t="s">
        <v>171</v>
      </c>
      <c r="C249" s="86" t="s">
        <v>109</v>
      </c>
      <c r="D249" s="86" t="s">
        <v>131</v>
      </c>
      <c r="E249" s="86" t="s">
        <v>129</v>
      </c>
      <c r="F249" s="86" t="s">
        <v>112</v>
      </c>
      <c r="G249" s="86">
        <v>10</v>
      </c>
      <c r="H249" s="86">
        <v>731</v>
      </c>
      <c r="I249" s="86">
        <v>1226</v>
      </c>
      <c r="J249" s="87">
        <v>7310</v>
      </c>
      <c r="K249" s="87">
        <v>12260</v>
      </c>
      <c r="L249" s="87">
        <v>4950</v>
      </c>
      <c r="M249" s="87" t="s">
        <v>116</v>
      </c>
    </row>
    <row r="250" spans="1:13" ht="15.6" thickTop="1" thickBot="1" x14ac:dyDescent="0.35">
      <c r="A250" s="85">
        <v>45552</v>
      </c>
      <c r="B250" s="86" t="s">
        <v>171</v>
      </c>
      <c r="C250" s="86" t="s">
        <v>109</v>
      </c>
      <c r="D250" s="86" t="s">
        <v>131</v>
      </c>
      <c r="E250" s="86" t="s">
        <v>129</v>
      </c>
      <c r="F250" s="86" t="s">
        <v>112</v>
      </c>
      <c r="G250" s="86">
        <v>18</v>
      </c>
      <c r="H250" s="86">
        <v>602</v>
      </c>
      <c r="I250" s="86">
        <v>1401</v>
      </c>
      <c r="J250" s="87">
        <v>10836</v>
      </c>
      <c r="K250" s="87">
        <v>25218</v>
      </c>
      <c r="L250" s="87">
        <v>14382</v>
      </c>
      <c r="M250" s="87" t="s">
        <v>116</v>
      </c>
    </row>
    <row r="251" spans="1:13" ht="15.6" thickTop="1" thickBot="1" x14ac:dyDescent="0.35">
      <c r="A251" s="85">
        <v>45552</v>
      </c>
      <c r="B251" s="86" t="s">
        <v>171</v>
      </c>
      <c r="C251" s="86" t="s">
        <v>109</v>
      </c>
      <c r="D251" s="86" t="s">
        <v>131</v>
      </c>
      <c r="E251" s="86" t="s">
        <v>129</v>
      </c>
      <c r="F251" s="86" t="s">
        <v>112</v>
      </c>
      <c r="G251" s="86">
        <v>18</v>
      </c>
      <c r="H251" s="86">
        <v>717</v>
      </c>
      <c r="I251" s="86">
        <v>833</v>
      </c>
      <c r="J251" s="87">
        <v>12906</v>
      </c>
      <c r="K251" s="87">
        <v>14994</v>
      </c>
      <c r="L251" s="87">
        <v>2088</v>
      </c>
      <c r="M251" s="87" t="s">
        <v>116</v>
      </c>
    </row>
    <row r="252" spans="1:13" ht="15.6" thickTop="1" thickBot="1" x14ac:dyDescent="0.35">
      <c r="A252" s="85">
        <v>45416</v>
      </c>
      <c r="B252" s="86" t="s">
        <v>245</v>
      </c>
      <c r="C252" s="86" t="s">
        <v>139</v>
      </c>
      <c r="D252" s="86" t="s">
        <v>154</v>
      </c>
      <c r="E252" s="86" t="s">
        <v>118</v>
      </c>
      <c r="F252" s="86" t="s">
        <v>123</v>
      </c>
      <c r="G252" s="86">
        <v>28</v>
      </c>
      <c r="H252" s="86">
        <v>787</v>
      </c>
      <c r="I252" s="86">
        <v>1452</v>
      </c>
      <c r="J252" s="87">
        <v>22036</v>
      </c>
      <c r="K252" s="87">
        <v>40656</v>
      </c>
      <c r="L252" s="87">
        <v>18620</v>
      </c>
      <c r="M252" s="87" t="s">
        <v>116</v>
      </c>
    </row>
    <row r="253" spans="1:13" ht="15.6" thickTop="1" thickBot="1" x14ac:dyDescent="0.35">
      <c r="A253" s="85">
        <v>45416</v>
      </c>
      <c r="B253" s="86" t="s">
        <v>245</v>
      </c>
      <c r="C253" s="86" t="s">
        <v>139</v>
      </c>
      <c r="D253" s="86" t="s">
        <v>154</v>
      </c>
      <c r="E253" s="86" t="s">
        <v>118</v>
      </c>
      <c r="F253" s="86" t="s">
        <v>123</v>
      </c>
      <c r="G253" s="86">
        <v>24</v>
      </c>
      <c r="H253" s="86">
        <v>504</v>
      </c>
      <c r="I253" s="86">
        <v>1283</v>
      </c>
      <c r="J253" s="87">
        <v>12096</v>
      </c>
      <c r="K253" s="87">
        <v>30792</v>
      </c>
      <c r="L253" s="87">
        <v>18696</v>
      </c>
      <c r="M253" s="87" t="s">
        <v>116</v>
      </c>
    </row>
    <row r="254" spans="1:13" ht="15.6" thickTop="1" thickBot="1" x14ac:dyDescent="0.35">
      <c r="A254" s="85">
        <v>45416</v>
      </c>
      <c r="B254" s="86" t="s">
        <v>245</v>
      </c>
      <c r="C254" s="86" t="s">
        <v>139</v>
      </c>
      <c r="D254" s="86" t="s">
        <v>154</v>
      </c>
      <c r="E254" s="86" t="s">
        <v>118</v>
      </c>
      <c r="F254" s="86" t="s">
        <v>123</v>
      </c>
      <c r="G254" s="86">
        <v>20</v>
      </c>
      <c r="H254" s="86">
        <v>908</v>
      </c>
      <c r="I254" s="86">
        <v>1130</v>
      </c>
      <c r="J254" s="87">
        <v>18160</v>
      </c>
      <c r="K254" s="87">
        <v>22600</v>
      </c>
      <c r="L254" s="87">
        <v>4440</v>
      </c>
      <c r="M254" s="87" t="s">
        <v>116</v>
      </c>
    </row>
    <row r="255" spans="1:13" ht="15.6" thickTop="1" thickBot="1" x14ac:dyDescent="0.35">
      <c r="A255" s="85">
        <v>45618</v>
      </c>
      <c r="B255" s="86" t="s">
        <v>306</v>
      </c>
      <c r="C255" s="86" t="s">
        <v>139</v>
      </c>
      <c r="D255" s="86" t="s">
        <v>154</v>
      </c>
      <c r="E255" s="86" t="s">
        <v>122</v>
      </c>
      <c r="F255" s="86" t="s">
        <v>123</v>
      </c>
      <c r="G255" s="86">
        <v>25</v>
      </c>
      <c r="H255" s="86">
        <v>990</v>
      </c>
      <c r="I255" s="86">
        <v>868</v>
      </c>
      <c r="J255" s="87">
        <v>24750</v>
      </c>
      <c r="K255" s="87">
        <v>21700</v>
      </c>
      <c r="L255" s="87">
        <v>-3050</v>
      </c>
      <c r="M255" s="87" t="s">
        <v>113</v>
      </c>
    </row>
    <row r="256" spans="1:13" ht="15.6" thickTop="1" thickBot="1" x14ac:dyDescent="0.35">
      <c r="A256" s="85">
        <v>45618</v>
      </c>
      <c r="B256" s="86" t="s">
        <v>306</v>
      </c>
      <c r="C256" s="86" t="s">
        <v>139</v>
      </c>
      <c r="D256" s="86" t="s">
        <v>154</v>
      </c>
      <c r="E256" s="86" t="s">
        <v>122</v>
      </c>
      <c r="F256" s="86" t="s">
        <v>123</v>
      </c>
      <c r="G256" s="86">
        <v>25</v>
      </c>
      <c r="H256" s="86">
        <v>924</v>
      </c>
      <c r="I256" s="86">
        <v>1062</v>
      </c>
      <c r="J256" s="87">
        <v>23100</v>
      </c>
      <c r="K256" s="87">
        <v>26550</v>
      </c>
      <c r="L256" s="87">
        <v>3450</v>
      </c>
      <c r="M256" s="87" t="s">
        <v>116</v>
      </c>
    </row>
    <row r="257" spans="1:13" ht="15.6" thickTop="1" thickBot="1" x14ac:dyDescent="0.35">
      <c r="A257" s="85">
        <v>45618</v>
      </c>
      <c r="B257" s="86" t="s">
        <v>306</v>
      </c>
      <c r="C257" s="86" t="s">
        <v>139</v>
      </c>
      <c r="D257" s="86" t="s">
        <v>154</v>
      </c>
      <c r="E257" s="86" t="s">
        <v>122</v>
      </c>
      <c r="F257" s="86" t="s">
        <v>123</v>
      </c>
      <c r="G257" s="86">
        <v>23</v>
      </c>
      <c r="H257" s="86">
        <v>706</v>
      </c>
      <c r="I257" s="86">
        <v>988</v>
      </c>
      <c r="J257" s="87">
        <v>16238</v>
      </c>
      <c r="K257" s="87">
        <v>22724</v>
      </c>
      <c r="L257" s="87">
        <v>6486</v>
      </c>
      <c r="M257" s="87" t="s">
        <v>116</v>
      </c>
    </row>
    <row r="258" spans="1:13" ht="15.6" thickTop="1" thickBot="1" x14ac:dyDescent="0.35">
      <c r="A258" s="85">
        <v>45679</v>
      </c>
      <c r="B258" s="91" t="s">
        <v>191</v>
      </c>
      <c r="C258" s="86" t="s">
        <v>109</v>
      </c>
      <c r="D258" s="86" t="s">
        <v>131</v>
      </c>
      <c r="E258" s="86" t="s">
        <v>115</v>
      </c>
      <c r="F258" s="86" t="s">
        <v>112</v>
      </c>
      <c r="G258" s="86">
        <v>15</v>
      </c>
      <c r="H258" s="86">
        <v>924</v>
      </c>
      <c r="I258" s="86">
        <v>1024</v>
      </c>
      <c r="J258" s="87">
        <v>13860</v>
      </c>
      <c r="K258" s="87">
        <v>15360</v>
      </c>
      <c r="L258" s="87">
        <v>1500</v>
      </c>
      <c r="M258" s="87" t="s">
        <v>116</v>
      </c>
    </row>
    <row r="259" spans="1:13" ht="15.6" thickTop="1" thickBot="1" x14ac:dyDescent="0.35">
      <c r="A259" s="85">
        <v>45679</v>
      </c>
      <c r="B259" s="86" t="s">
        <v>191</v>
      </c>
      <c r="C259" s="86" t="s">
        <v>109</v>
      </c>
      <c r="D259" s="86" t="s">
        <v>131</v>
      </c>
      <c r="E259" s="86" t="s">
        <v>115</v>
      </c>
      <c r="F259" s="86" t="s">
        <v>112</v>
      </c>
      <c r="G259" s="86">
        <v>20</v>
      </c>
      <c r="H259" s="86">
        <v>597</v>
      </c>
      <c r="I259" s="86">
        <v>1175</v>
      </c>
      <c r="J259" s="87">
        <v>11940</v>
      </c>
      <c r="K259" s="87">
        <v>23500</v>
      </c>
      <c r="L259" s="87">
        <v>11560</v>
      </c>
      <c r="M259" s="87" t="s">
        <v>116</v>
      </c>
    </row>
    <row r="260" spans="1:13" ht="15.6" thickTop="1" thickBot="1" x14ac:dyDescent="0.35">
      <c r="A260" s="85">
        <v>45679</v>
      </c>
      <c r="B260" s="86" t="s">
        <v>191</v>
      </c>
      <c r="C260" s="86" t="s">
        <v>109</v>
      </c>
      <c r="D260" s="86" t="s">
        <v>131</v>
      </c>
      <c r="E260" s="86" t="s">
        <v>115</v>
      </c>
      <c r="F260" s="86" t="s">
        <v>112</v>
      </c>
      <c r="G260" s="86">
        <v>19</v>
      </c>
      <c r="H260" s="86">
        <v>791</v>
      </c>
      <c r="I260" s="86">
        <v>965</v>
      </c>
      <c r="J260" s="87">
        <v>15029</v>
      </c>
      <c r="K260" s="87">
        <v>18335</v>
      </c>
      <c r="L260" s="87">
        <v>3306</v>
      </c>
      <c r="M260" s="87" t="s">
        <v>116</v>
      </c>
    </row>
    <row r="261" spans="1:13" ht="15.6" thickTop="1" thickBot="1" x14ac:dyDescent="0.35">
      <c r="A261" s="85">
        <v>45597</v>
      </c>
      <c r="B261" s="86" t="s">
        <v>292</v>
      </c>
      <c r="C261" s="86" t="s">
        <v>139</v>
      </c>
      <c r="D261" s="86" t="s">
        <v>140</v>
      </c>
      <c r="E261" s="86" t="s">
        <v>115</v>
      </c>
      <c r="F261" s="86" t="s">
        <v>123</v>
      </c>
      <c r="G261" s="86">
        <v>26</v>
      </c>
      <c r="H261" s="86">
        <v>726</v>
      </c>
      <c r="I261" s="86">
        <v>1335</v>
      </c>
      <c r="J261" s="87">
        <v>18876</v>
      </c>
      <c r="K261" s="87">
        <v>34710</v>
      </c>
      <c r="L261" s="87">
        <v>15834</v>
      </c>
      <c r="M261" s="87" t="s">
        <v>116</v>
      </c>
    </row>
    <row r="262" spans="1:13" ht="15.6" thickTop="1" thickBot="1" x14ac:dyDescent="0.35">
      <c r="A262" s="85">
        <v>45597</v>
      </c>
      <c r="B262" s="86" t="s">
        <v>292</v>
      </c>
      <c r="C262" s="86" t="s">
        <v>139</v>
      </c>
      <c r="D262" s="86" t="s">
        <v>140</v>
      </c>
      <c r="E262" s="86" t="s">
        <v>115</v>
      </c>
      <c r="F262" s="86" t="s">
        <v>123</v>
      </c>
      <c r="G262" s="86">
        <v>26</v>
      </c>
      <c r="H262" s="86">
        <v>728</v>
      </c>
      <c r="I262" s="86">
        <v>1466</v>
      </c>
      <c r="J262" s="87">
        <v>18928</v>
      </c>
      <c r="K262" s="87">
        <v>38116</v>
      </c>
      <c r="L262" s="87">
        <v>19188</v>
      </c>
      <c r="M262" s="87" t="s">
        <v>116</v>
      </c>
    </row>
    <row r="263" spans="1:13" ht="15.6" thickTop="1" thickBot="1" x14ac:dyDescent="0.35">
      <c r="A263" s="85">
        <v>45597</v>
      </c>
      <c r="B263" s="86" t="s">
        <v>292</v>
      </c>
      <c r="C263" s="86" t="s">
        <v>139</v>
      </c>
      <c r="D263" s="86" t="s">
        <v>140</v>
      </c>
      <c r="E263" s="86" t="s">
        <v>115</v>
      </c>
      <c r="F263" s="86" t="s">
        <v>123</v>
      </c>
      <c r="G263" s="86">
        <v>30</v>
      </c>
      <c r="H263" s="86">
        <v>910</v>
      </c>
      <c r="I263" s="86">
        <v>1290</v>
      </c>
      <c r="J263" s="87">
        <v>27300</v>
      </c>
      <c r="K263" s="87">
        <v>38700</v>
      </c>
      <c r="L263" s="87">
        <v>11400</v>
      </c>
      <c r="M263" s="87" t="s">
        <v>116</v>
      </c>
    </row>
    <row r="264" spans="1:13" ht="15.6" thickTop="1" thickBot="1" x14ac:dyDescent="0.35">
      <c r="A264" s="85">
        <v>45660</v>
      </c>
      <c r="B264" s="86" t="s">
        <v>305</v>
      </c>
      <c r="C264" s="86" t="s">
        <v>109</v>
      </c>
      <c r="D264" s="86" t="s">
        <v>110</v>
      </c>
      <c r="E264" s="86" t="s">
        <v>166</v>
      </c>
      <c r="F264" s="86" t="s">
        <v>112</v>
      </c>
      <c r="G264" s="86">
        <v>11</v>
      </c>
      <c r="H264" s="86">
        <v>562</v>
      </c>
      <c r="I264" s="86">
        <v>800</v>
      </c>
      <c r="J264" s="87">
        <v>6182</v>
      </c>
      <c r="K264" s="87">
        <v>8800</v>
      </c>
      <c r="L264" s="87">
        <v>2618</v>
      </c>
      <c r="M264" s="87" t="s">
        <v>116</v>
      </c>
    </row>
    <row r="265" spans="1:13" ht="15.6" thickTop="1" thickBot="1" x14ac:dyDescent="0.35">
      <c r="A265" s="85">
        <v>45688</v>
      </c>
      <c r="B265" s="86" t="s">
        <v>199</v>
      </c>
      <c r="C265" s="86" t="s">
        <v>109</v>
      </c>
      <c r="D265" s="86" t="s">
        <v>131</v>
      </c>
      <c r="E265" s="86" t="s">
        <v>200</v>
      </c>
      <c r="F265" s="86" t="s">
        <v>123</v>
      </c>
      <c r="G265" s="86">
        <v>19</v>
      </c>
      <c r="H265" s="86">
        <v>864</v>
      </c>
      <c r="I265" s="86">
        <v>1147</v>
      </c>
      <c r="J265" s="87">
        <v>16416</v>
      </c>
      <c r="K265" s="87">
        <v>21793</v>
      </c>
      <c r="L265" s="87">
        <v>5377</v>
      </c>
      <c r="M265" s="87" t="s">
        <v>116</v>
      </c>
    </row>
    <row r="266" spans="1:13" ht="15.6" thickTop="1" thickBot="1" x14ac:dyDescent="0.35">
      <c r="A266" s="85">
        <v>45688</v>
      </c>
      <c r="B266" s="86" t="s">
        <v>199</v>
      </c>
      <c r="C266" s="86" t="s">
        <v>109</v>
      </c>
      <c r="D266" s="86" t="s">
        <v>131</v>
      </c>
      <c r="E266" s="86" t="s">
        <v>200</v>
      </c>
      <c r="F266" s="86" t="s">
        <v>123</v>
      </c>
      <c r="G266" s="86">
        <v>16</v>
      </c>
      <c r="H266" s="86">
        <v>998</v>
      </c>
      <c r="I266" s="86">
        <v>835</v>
      </c>
      <c r="J266" s="87">
        <v>15968</v>
      </c>
      <c r="K266" s="87">
        <v>13360</v>
      </c>
      <c r="L266" s="87">
        <v>-2608</v>
      </c>
      <c r="M266" s="87" t="s">
        <v>113</v>
      </c>
    </row>
    <row r="267" spans="1:13" ht="15.6" thickTop="1" thickBot="1" x14ac:dyDescent="0.35">
      <c r="A267" s="85">
        <v>45629</v>
      </c>
      <c r="B267" s="86" t="s">
        <v>276</v>
      </c>
      <c r="C267" s="86" t="s">
        <v>139</v>
      </c>
      <c r="D267" s="86" t="s">
        <v>205</v>
      </c>
      <c r="E267" s="86" t="s">
        <v>151</v>
      </c>
      <c r="F267" s="86" t="s">
        <v>123</v>
      </c>
      <c r="G267" s="86">
        <v>29</v>
      </c>
      <c r="H267" s="86">
        <v>639</v>
      </c>
      <c r="I267" s="86">
        <v>1257</v>
      </c>
      <c r="J267" s="87">
        <v>18531</v>
      </c>
      <c r="K267" s="87">
        <v>36453</v>
      </c>
      <c r="L267" s="87">
        <v>17922</v>
      </c>
      <c r="M267" s="87" t="s">
        <v>116</v>
      </c>
    </row>
    <row r="268" spans="1:13" ht="15.6" thickTop="1" thickBot="1" x14ac:dyDescent="0.35">
      <c r="A268" s="85">
        <v>45404</v>
      </c>
      <c r="B268" s="90" t="s">
        <v>231</v>
      </c>
      <c r="C268" s="86" t="s">
        <v>139</v>
      </c>
      <c r="D268" s="86" t="s">
        <v>154</v>
      </c>
      <c r="E268" s="86" t="s">
        <v>133</v>
      </c>
      <c r="F268" s="86" t="s">
        <v>123</v>
      </c>
      <c r="G268" s="86">
        <v>26</v>
      </c>
      <c r="H268" s="86">
        <v>942</v>
      </c>
      <c r="I268" s="86">
        <v>1143</v>
      </c>
      <c r="J268" s="87">
        <v>24492</v>
      </c>
      <c r="K268" s="87">
        <v>29718</v>
      </c>
      <c r="L268" s="87">
        <v>5226</v>
      </c>
      <c r="M268" s="87" t="s">
        <v>116</v>
      </c>
    </row>
    <row r="269" spans="1:13" ht="15.6" thickTop="1" thickBot="1" x14ac:dyDescent="0.35">
      <c r="A269" s="85">
        <v>45404</v>
      </c>
      <c r="B269" s="86" t="s">
        <v>231</v>
      </c>
      <c r="C269" s="86" t="s">
        <v>139</v>
      </c>
      <c r="D269" s="86" t="s">
        <v>154</v>
      </c>
      <c r="E269" s="86" t="s">
        <v>133</v>
      </c>
      <c r="F269" s="86" t="s">
        <v>123</v>
      </c>
      <c r="G269" s="86">
        <v>23</v>
      </c>
      <c r="H269" s="86">
        <v>663</v>
      </c>
      <c r="I269" s="86">
        <v>1153</v>
      </c>
      <c r="J269" s="87">
        <v>15249</v>
      </c>
      <c r="K269" s="87">
        <v>26519</v>
      </c>
      <c r="L269" s="87">
        <v>11270</v>
      </c>
      <c r="M269" s="87" t="s">
        <v>116</v>
      </c>
    </row>
    <row r="270" spans="1:13" ht="15.6" thickTop="1" thickBot="1" x14ac:dyDescent="0.35">
      <c r="A270" s="85">
        <v>45404</v>
      </c>
      <c r="B270" s="86" t="s">
        <v>231</v>
      </c>
      <c r="C270" s="86" t="s">
        <v>139</v>
      </c>
      <c r="D270" s="86" t="s">
        <v>154</v>
      </c>
      <c r="E270" s="86" t="s">
        <v>133</v>
      </c>
      <c r="F270" s="86" t="s">
        <v>123</v>
      </c>
      <c r="G270" s="86">
        <v>20</v>
      </c>
      <c r="H270" s="86">
        <v>664</v>
      </c>
      <c r="I270" s="86">
        <v>924</v>
      </c>
      <c r="J270" s="87">
        <v>13280</v>
      </c>
      <c r="K270" s="87">
        <v>18480</v>
      </c>
      <c r="L270" s="87">
        <v>5200</v>
      </c>
      <c r="M270" s="87" t="s">
        <v>116</v>
      </c>
    </row>
    <row r="271" spans="1:13" ht="15.6" thickTop="1" thickBot="1" x14ac:dyDescent="0.35">
      <c r="A271" s="85">
        <v>45478</v>
      </c>
      <c r="B271" s="86" t="s">
        <v>141</v>
      </c>
      <c r="C271" s="86" t="s">
        <v>109</v>
      </c>
      <c r="D271" s="80" t="s">
        <v>131</v>
      </c>
      <c r="E271" s="86" t="s">
        <v>142</v>
      </c>
      <c r="F271" s="86" t="s">
        <v>112</v>
      </c>
      <c r="G271" s="86">
        <v>12</v>
      </c>
      <c r="H271" s="86">
        <v>913</v>
      </c>
      <c r="I271" s="86">
        <v>1170</v>
      </c>
      <c r="J271" s="87">
        <v>10956</v>
      </c>
      <c r="K271" s="87">
        <v>14040</v>
      </c>
      <c r="L271" s="87">
        <v>3084</v>
      </c>
      <c r="M271" s="87" t="s">
        <v>116</v>
      </c>
    </row>
    <row r="272" spans="1:13" ht="15.6" thickTop="1" thickBot="1" x14ac:dyDescent="0.35">
      <c r="A272" s="85">
        <v>45478</v>
      </c>
      <c r="B272" s="86" t="s">
        <v>141</v>
      </c>
      <c r="C272" s="86" t="s">
        <v>109</v>
      </c>
      <c r="D272" s="86" t="s">
        <v>131</v>
      </c>
      <c r="E272" s="86" t="s">
        <v>142</v>
      </c>
      <c r="F272" s="86" t="s">
        <v>112</v>
      </c>
      <c r="G272" s="86">
        <v>20</v>
      </c>
      <c r="H272" s="86">
        <v>960</v>
      </c>
      <c r="I272" s="86">
        <v>1170</v>
      </c>
      <c r="J272" s="87">
        <v>19200</v>
      </c>
      <c r="K272" s="87">
        <v>23400</v>
      </c>
      <c r="L272" s="87">
        <v>4200</v>
      </c>
      <c r="M272" s="87" t="s">
        <v>116</v>
      </c>
    </row>
    <row r="273" spans="1:13" ht="15.6" thickTop="1" thickBot="1" x14ac:dyDescent="0.35">
      <c r="A273" s="85">
        <v>45526</v>
      </c>
      <c r="B273" s="86" t="s">
        <v>210</v>
      </c>
      <c r="C273" s="86" t="s">
        <v>139</v>
      </c>
      <c r="D273" s="86" t="s">
        <v>205</v>
      </c>
      <c r="E273" s="86" t="s">
        <v>155</v>
      </c>
      <c r="F273" s="86" t="s">
        <v>112</v>
      </c>
      <c r="G273" s="86">
        <v>23</v>
      </c>
      <c r="H273" s="86">
        <v>923</v>
      </c>
      <c r="I273" s="86">
        <v>897</v>
      </c>
      <c r="J273" s="87">
        <v>21229</v>
      </c>
      <c r="K273" s="87">
        <v>20631</v>
      </c>
      <c r="L273" s="87">
        <v>-598</v>
      </c>
      <c r="M273" s="87" t="s">
        <v>113</v>
      </c>
    </row>
    <row r="274" spans="1:13" ht="15.6" thickTop="1" thickBot="1" x14ac:dyDescent="0.35">
      <c r="A274" s="85">
        <v>45526</v>
      </c>
      <c r="B274" s="86" t="s">
        <v>210</v>
      </c>
      <c r="C274" s="86" t="s">
        <v>139</v>
      </c>
      <c r="D274" s="86" t="s">
        <v>205</v>
      </c>
      <c r="E274" s="86" t="s">
        <v>155</v>
      </c>
      <c r="F274" s="86" t="s">
        <v>112</v>
      </c>
      <c r="G274" s="86">
        <v>20</v>
      </c>
      <c r="H274" s="86">
        <v>997</v>
      </c>
      <c r="I274" s="86">
        <v>784</v>
      </c>
      <c r="J274" s="87">
        <v>19940</v>
      </c>
      <c r="K274" s="87">
        <v>15680</v>
      </c>
      <c r="L274" s="87">
        <v>-4260</v>
      </c>
      <c r="M274" s="87" t="s">
        <v>113</v>
      </c>
    </row>
    <row r="275" spans="1:13" ht="15.6" thickTop="1" thickBot="1" x14ac:dyDescent="0.35">
      <c r="A275" s="85">
        <v>45486</v>
      </c>
      <c r="B275" s="86" t="s">
        <v>268</v>
      </c>
      <c r="C275" s="86" t="s">
        <v>139</v>
      </c>
      <c r="D275" s="86" t="s">
        <v>205</v>
      </c>
      <c r="E275" s="86" t="s">
        <v>155</v>
      </c>
      <c r="F275" s="86" t="s">
        <v>123</v>
      </c>
      <c r="G275" s="86">
        <v>30</v>
      </c>
      <c r="H275" s="86">
        <v>726</v>
      </c>
      <c r="I275" s="86">
        <v>964</v>
      </c>
      <c r="J275" s="87">
        <v>21780</v>
      </c>
      <c r="K275" s="87">
        <v>28920</v>
      </c>
      <c r="L275" s="87">
        <v>7140</v>
      </c>
      <c r="M275" s="87" t="s">
        <v>116</v>
      </c>
    </row>
    <row r="276" spans="1:13" ht="15.6" thickTop="1" thickBot="1" x14ac:dyDescent="0.35">
      <c r="A276" s="85">
        <v>45486</v>
      </c>
      <c r="B276" s="86" t="s">
        <v>268</v>
      </c>
      <c r="C276" s="86" t="s">
        <v>139</v>
      </c>
      <c r="D276" s="86" t="s">
        <v>205</v>
      </c>
      <c r="E276" s="86" t="s">
        <v>155</v>
      </c>
      <c r="F276" s="86" t="s">
        <v>123</v>
      </c>
      <c r="G276" s="86">
        <v>22</v>
      </c>
      <c r="H276" s="86">
        <v>974</v>
      </c>
      <c r="I276" s="86">
        <v>1329</v>
      </c>
      <c r="J276" s="87">
        <v>21428</v>
      </c>
      <c r="K276" s="87">
        <v>29238</v>
      </c>
      <c r="L276" s="87">
        <v>7810</v>
      </c>
      <c r="M276" s="87" t="s">
        <v>116</v>
      </c>
    </row>
    <row r="277" spans="1:13" ht="15.6" thickTop="1" thickBot="1" x14ac:dyDescent="0.35">
      <c r="A277" s="85">
        <v>45486</v>
      </c>
      <c r="B277" s="86" t="s">
        <v>268</v>
      </c>
      <c r="C277" s="86" t="s">
        <v>139</v>
      </c>
      <c r="D277" s="86" t="s">
        <v>205</v>
      </c>
      <c r="E277" s="86" t="s">
        <v>155</v>
      </c>
      <c r="F277" s="86" t="s">
        <v>123</v>
      </c>
      <c r="G277" s="86">
        <v>24</v>
      </c>
      <c r="H277" s="86">
        <v>718</v>
      </c>
      <c r="I277" s="86">
        <v>1218</v>
      </c>
      <c r="J277" s="87">
        <v>17232</v>
      </c>
      <c r="K277" s="87">
        <v>29232</v>
      </c>
      <c r="L277" s="87">
        <v>12000</v>
      </c>
      <c r="M277" s="87" t="s">
        <v>116</v>
      </c>
    </row>
    <row r="278" spans="1:13" ht="15.6" thickTop="1" thickBot="1" x14ac:dyDescent="0.35">
      <c r="A278" s="85">
        <v>45424</v>
      </c>
      <c r="B278" s="86" t="s">
        <v>256</v>
      </c>
      <c r="C278" s="86" t="s">
        <v>139</v>
      </c>
      <c r="D278" s="86" t="s">
        <v>205</v>
      </c>
      <c r="E278" s="86" t="s">
        <v>137</v>
      </c>
      <c r="F278" s="86" t="s">
        <v>112</v>
      </c>
      <c r="G278" s="86">
        <v>25</v>
      </c>
      <c r="H278" s="86">
        <v>810</v>
      </c>
      <c r="I278" s="86">
        <v>1086</v>
      </c>
      <c r="J278" s="87">
        <v>20250</v>
      </c>
      <c r="K278" s="87">
        <v>27150</v>
      </c>
      <c r="L278" s="87">
        <v>6900</v>
      </c>
      <c r="M278" s="87" t="s">
        <v>116</v>
      </c>
    </row>
    <row r="279" spans="1:13" ht="15.6" thickTop="1" thickBot="1" x14ac:dyDescent="0.35">
      <c r="A279" s="85">
        <v>45424</v>
      </c>
      <c r="B279" s="86" t="s">
        <v>256</v>
      </c>
      <c r="C279" s="86" t="s">
        <v>139</v>
      </c>
      <c r="D279" s="86" t="s">
        <v>205</v>
      </c>
      <c r="E279" s="86" t="s">
        <v>137</v>
      </c>
      <c r="F279" s="86" t="s">
        <v>112</v>
      </c>
      <c r="G279" s="86">
        <v>23</v>
      </c>
      <c r="H279" s="86">
        <v>816</v>
      </c>
      <c r="I279" s="86">
        <v>1273</v>
      </c>
      <c r="J279" s="87">
        <v>18768</v>
      </c>
      <c r="K279" s="87">
        <v>29279</v>
      </c>
      <c r="L279" s="87">
        <v>10511</v>
      </c>
      <c r="M279" s="87" t="s">
        <v>116</v>
      </c>
    </row>
    <row r="280" spans="1:13" ht="15.6" thickTop="1" thickBot="1" x14ac:dyDescent="0.35">
      <c r="A280" s="85">
        <v>45424</v>
      </c>
      <c r="B280" s="86" t="s">
        <v>256</v>
      </c>
      <c r="C280" s="86" t="s">
        <v>139</v>
      </c>
      <c r="D280" s="86" t="s">
        <v>205</v>
      </c>
      <c r="E280" s="86" t="s">
        <v>137</v>
      </c>
      <c r="F280" s="86" t="s">
        <v>112</v>
      </c>
      <c r="G280" s="86">
        <v>24</v>
      </c>
      <c r="H280" s="86">
        <v>730</v>
      </c>
      <c r="I280" s="86">
        <v>886</v>
      </c>
      <c r="J280" s="87">
        <v>17520</v>
      </c>
      <c r="K280" s="87">
        <v>21264</v>
      </c>
      <c r="L280" s="87">
        <v>3744</v>
      </c>
      <c r="M280" s="87" t="s">
        <v>116</v>
      </c>
    </row>
    <row r="281" spans="1:13" ht="15.6" thickTop="1" thickBot="1" x14ac:dyDescent="0.35">
      <c r="A281" s="85">
        <v>45490</v>
      </c>
      <c r="B281" s="86" t="s">
        <v>271</v>
      </c>
      <c r="C281" s="86" t="s">
        <v>139</v>
      </c>
      <c r="D281" s="86" t="s">
        <v>205</v>
      </c>
      <c r="E281" s="86" t="s">
        <v>200</v>
      </c>
      <c r="F281" s="86" t="s">
        <v>112</v>
      </c>
      <c r="G281" s="86">
        <v>30</v>
      </c>
      <c r="H281" s="86">
        <v>514</v>
      </c>
      <c r="I281" s="86">
        <v>1333</v>
      </c>
      <c r="J281" s="87">
        <v>15420</v>
      </c>
      <c r="K281" s="87">
        <v>39990</v>
      </c>
      <c r="L281" s="87">
        <v>24570</v>
      </c>
      <c r="M281" s="87" t="s">
        <v>116</v>
      </c>
    </row>
    <row r="282" spans="1:13" ht="15.6" thickTop="1" thickBot="1" x14ac:dyDescent="0.35">
      <c r="A282" s="85">
        <v>45490</v>
      </c>
      <c r="B282" s="86" t="s">
        <v>271</v>
      </c>
      <c r="C282" s="86" t="s">
        <v>139</v>
      </c>
      <c r="D282" s="86" t="s">
        <v>205</v>
      </c>
      <c r="E282" s="86" t="s">
        <v>200</v>
      </c>
      <c r="F282" s="86" t="s">
        <v>112</v>
      </c>
      <c r="G282" s="86">
        <v>29</v>
      </c>
      <c r="H282" s="86">
        <v>689</v>
      </c>
      <c r="I282" s="86">
        <v>783</v>
      </c>
      <c r="J282" s="87">
        <v>19981</v>
      </c>
      <c r="K282" s="87">
        <v>22707</v>
      </c>
      <c r="L282" s="87">
        <v>2726</v>
      </c>
      <c r="M282" s="87" t="s">
        <v>116</v>
      </c>
    </row>
    <row r="283" spans="1:13" ht="15.6" thickTop="1" thickBot="1" x14ac:dyDescent="0.35">
      <c r="A283" s="85">
        <v>45490</v>
      </c>
      <c r="B283" s="86" t="s">
        <v>271</v>
      </c>
      <c r="C283" s="86" t="s">
        <v>139</v>
      </c>
      <c r="D283" s="86" t="s">
        <v>205</v>
      </c>
      <c r="E283" s="86" t="s">
        <v>200</v>
      </c>
      <c r="F283" s="86" t="s">
        <v>112</v>
      </c>
      <c r="G283" s="86">
        <v>30</v>
      </c>
      <c r="H283" s="86">
        <v>916</v>
      </c>
      <c r="I283" s="86">
        <v>1497</v>
      </c>
      <c r="J283" s="87">
        <v>27480</v>
      </c>
      <c r="K283" s="87">
        <v>44910</v>
      </c>
      <c r="L283" s="87">
        <v>17430</v>
      </c>
      <c r="M283" s="87" t="s">
        <v>116</v>
      </c>
    </row>
    <row r="284" spans="1:13" ht="15.6" thickTop="1" thickBot="1" x14ac:dyDescent="0.35">
      <c r="A284" s="85">
        <v>45391</v>
      </c>
      <c r="B284" s="86" t="s">
        <v>224</v>
      </c>
      <c r="C284" s="86" t="s">
        <v>139</v>
      </c>
      <c r="D284" s="86" t="s">
        <v>140</v>
      </c>
      <c r="E284" s="86" t="s">
        <v>151</v>
      </c>
      <c r="F284" s="86" t="s">
        <v>112</v>
      </c>
      <c r="G284" s="86">
        <v>23</v>
      </c>
      <c r="H284" s="86">
        <v>852</v>
      </c>
      <c r="I284" s="86">
        <v>1480</v>
      </c>
      <c r="J284" s="87">
        <v>19596</v>
      </c>
      <c r="K284" s="87">
        <v>34040</v>
      </c>
      <c r="L284" s="87">
        <v>14444</v>
      </c>
      <c r="M284" s="87" t="s">
        <v>116</v>
      </c>
    </row>
    <row r="285" spans="1:13" ht="15.6" thickTop="1" thickBot="1" x14ac:dyDescent="0.35">
      <c r="A285" s="85">
        <v>45391</v>
      </c>
      <c r="B285" s="86" t="s">
        <v>224</v>
      </c>
      <c r="C285" s="86" t="s">
        <v>139</v>
      </c>
      <c r="D285" s="86" t="s">
        <v>140</v>
      </c>
      <c r="E285" s="86" t="s">
        <v>151</v>
      </c>
      <c r="F285" s="86" t="s">
        <v>112</v>
      </c>
      <c r="G285" s="86">
        <v>21</v>
      </c>
      <c r="H285" s="86">
        <v>879</v>
      </c>
      <c r="I285" s="86">
        <v>1019</v>
      </c>
      <c r="J285" s="87">
        <v>18459</v>
      </c>
      <c r="K285" s="87">
        <v>21399</v>
      </c>
      <c r="L285" s="87">
        <v>2940</v>
      </c>
      <c r="M285" s="87" t="s">
        <v>116</v>
      </c>
    </row>
    <row r="286" spans="1:13" ht="15.6" thickTop="1" thickBot="1" x14ac:dyDescent="0.35">
      <c r="A286" s="85">
        <v>45391</v>
      </c>
      <c r="B286" s="86" t="s">
        <v>224</v>
      </c>
      <c r="C286" s="86" t="s">
        <v>139</v>
      </c>
      <c r="D286" s="86" t="s">
        <v>140</v>
      </c>
      <c r="E286" s="86" t="s">
        <v>151</v>
      </c>
      <c r="F286" s="86" t="s">
        <v>112</v>
      </c>
      <c r="G286" s="86">
        <v>30</v>
      </c>
      <c r="H286" s="86">
        <v>520</v>
      </c>
      <c r="I286" s="86">
        <v>1251</v>
      </c>
      <c r="J286" s="87">
        <v>15600</v>
      </c>
      <c r="K286" s="87">
        <v>37530</v>
      </c>
      <c r="L286" s="87">
        <v>21930</v>
      </c>
      <c r="M286" s="87" t="s">
        <v>116</v>
      </c>
    </row>
    <row r="287" spans="1:13" ht="15.6" thickTop="1" thickBot="1" x14ac:dyDescent="0.35">
      <c r="A287" s="85">
        <v>45549</v>
      </c>
      <c r="B287" s="86" t="s">
        <v>213</v>
      </c>
      <c r="C287" s="86" t="s">
        <v>109</v>
      </c>
      <c r="D287" s="86" t="s">
        <v>131</v>
      </c>
      <c r="E287" s="86" t="s">
        <v>129</v>
      </c>
      <c r="F287" s="86" t="s">
        <v>112</v>
      </c>
      <c r="G287" s="86">
        <v>14</v>
      </c>
      <c r="H287" s="86">
        <v>857</v>
      </c>
      <c r="I287" s="86">
        <v>767</v>
      </c>
      <c r="J287" s="87">
        <v>11998</v>
      </c>
      <c r="K287" s="87">
        <v>10738</v>
      </c>
      <c r="L287" s="87">
        <v>-1260</v>
      </c>
      <c r="M287" s="87" t="s">
        <v>113</v>
      </c>
    </row>
    <row r="288" spans="1:13" ht="15.6" thickTop="1" thickBot="1" x14ac:dyDescent="0.35">
      <c r="A288" s="85">
        <v>45549</v>
      </c>
      <c r="B288" s="86" t="s">
        <v>213</v>
      </c>
      <c r="C288" s="86" t="s">
        <v>109</v>
      </c>
      <c r="D288" s="86" t="s">
        <v>131</v>
      </c>
      <c r="E288" s="86" t="s">
        <v>129</v>
      </c>
      <c r="F288" s="86" t="s">
        <v>112</v>
      </c>
      <c r="G288" s="86">
        <v>19</v>
      </c>
      <c r="H288" s="86">
        <v>938</v>
      </c>
      <c r="I288" s="86">
        <v>1348</v>
      </c>
      <c r="J288" s="87">
        <v>17822</v>
      </c>
      <c r="K288" s="87">
        <v>25612</v>
      </c>
      <c r="L288" s="87">
        <v>7790</v>
      </c>
      <c r="M288" s="87" t="s">
        <v>116</v>
      </c>
    </row>
    <row r="289" spans="1:13" ht="15.6" thickTop="1" thickBot="1" x14ac:dyDescent="0.35">
      <c r="A289" s="85">
        <v>45627</v>
      </c>
      <c r="B289" s="86" t="s">
        <v>317</v>
      </c>
      <c r="C289" s="86" t="s">
        <v>139</v>
      </c>
      <c r="D289" s="86" t="s">
        <v>205</v>
      </c>
      <c r="E289" s="86" t="s">
        <v>155</v>
      </c>
      <c r="F289" s="86" t="s">
        <v>112</v>
      </c>
      <c r="G289" s="86">
        <v>21</v>
      </c>
      <c r="H289" s="86">
        <v>605</v>
      </c>
      <c r="I289" s="86">
        <v>1264</v>
      </c>
      <c r="J289" s="87">
        <v>12705</v>
      </c>
      <c r="K289" s="87">
        <v>26544</v>
      </c>
      <c r="L289" s="87">
        <v>13839</v>
      </c>
      <c r="M289" s="87" t="s">
        <v>116</v>
      </c>
    </row>
    <row r="290" spans="1:13" ht="15.6" thickTop="1" thickBot="1" x14ac:dyDescent="0.35">
      <c r="A290" s="85">
        <v>45627</v>
      </c>
      <c r="B290" s="86" t="s">
        <v>317</v>
      </c>
      <c r="C290" s="86" t="s">
        <v>139</v>
      </c>
      <c r="D290" s="86" t="s">
        <v>205</v>
      </c>
      <c r="E290" s="86" t="s">
        <v>155</v>
      </c>
      <c r="F290" s="86" t="s">
        <v>112</v>
      </c>
      <c r="G290" s="86">
        <v>30</v>
      </c>
      <c r="H290" s="86">
        <v>857</v>
      </c>
      <c r="I290" s="86">
        <v>1455</v>
      </c>
      <c r="J290" s="87">
        <v>25710</v>
      </c>
      <c r="K290" s="87">
        <v>43650</v>
      </c>
      <c r="L290" s="87">
        <v>17940</v>
      </c>
      <c r="M290" s="87" t="s">
        <v>116</v>
      </c>
    </row>
    <row r="291" spans="1:13" ht="15.6" thickTop="1" thickBot="1" x14ac:dyDescent="0.35">
      <c r="A291" s="85">
        <v>45627</v>
      </c>
      <c r="B291" s="86" t="s">
        <v>317</v>
      </c>
      <c r="C291" s="86" t="s">
        <v>139</v>
      </c>
      <c r="D291" s="86" t="s">
        <v>205</v>
      </c>
      <c r="E291" s="86" t="s">
        <v>155</v>
      </c>
      <c r="F291" s="86" t="s">
        <v>112</v>
      </c>
      <c r="G291" s="86">
        <v>28</v>
      </c>
      <c r="H291" s="86">
        <v>798</v>
      </c>
      <c r="I291" s="86">
        <v>1131</v>
      </c>
      <c r="J291" s="87">
        <v>22344</v>
      </c>
      <c r="K291" s="87">
        <v>31668</v>
      </c>
      <c r="L291" s="87">
        <v>9324</v>
      </c>
      <c r="M291" s="87" t="s">
        <v>116</v>
      </c>
    </row>
    <row r="292" spans="1:13" ht="15.6" thickTop="1" thickBot="1" x14ac:dyDescent="0.35">
      <c r="A292" s="85">
        <v>45565</v>
      </c>
      <c r="B292" s="86" t="s">
        <v>216</v>
      </c>
      <c r="C292" s="86" t="s">
        <v>109</v>
      </c>
      <c r="D292" s="86" t="s">
        <v>110</v>
      </c>
      <c r="E292" s="86" t="s">
        <v>155</v>
      </c>
      <c r="F292" s="86" t="s">
        <v>112</v>
      </c>
      <c r="G292" s="86">
        <v>15</v>
      </c>
      <c r="H292" s="86">
        <v>825</v>
      </c>
      <c r="I292" s="86">
        <v>947</v>
      </c>
      <c r="J292" s="87">
        <v>12375</v>
      </c>
      <c r="K292" s="87">
        <v>14205</v>
      </c>
      <c r="L292" s="87">
        <v>1830</v>
      </c>
      <c r="M292" s="87" t="s">
        <v>116</v>
      </c>
    </row>
    <row r="293" spans="1:13" ht="15.6" thickTop="1" thickBot="1" x14ac:dyDescent="0.35">
      <c r="A293" s="85">
        <v>45677</v>
      </c>
      <c r="B293" s="86" t="s">
        <v>216</v>
      </c>
      <c r="C293" s="86" t="s">
        <v>109</v>
      </c>
      <c r="D293" s="86" t="s">
        <v>131</v>
      </c>
      <c r="E293" s="86" t="s">
        <v>242</v>
      </c>
      <c r="F293" s="86" t="s">
        <v>112</v>
      </c>
      <c r="G293" s="86">
        <v>20</v>
      </c>
      <c r="H293" s="86">
        <v>803</v>
      </c>
      <c r="I293" s="86">
        <v>941</v>
      </c>
      <c r="J293" s="87">
        <v>16060</v>
      </c>
      <c r="K293" s="87">
        <v>18820</v>
      </c>
      <c r="L293" s="87">
        <v>2760</v>
      </c>
      <c r="M293" s="87" t="s">
        <v>116</v>
      </c>
    </row>
    <row r="294" spans="1:13" ht="15.6" thickTop="1" thickBot="1" x14ac:dyDescent="0.35">
      <c r="A294" s="85">
        <v>45601</v>
      </c>
      <c r="B294" s="86" t="s">
        <v>297</v>
      </c>
      <c r="C294" s="86" t="s">
        <v>139</v>
      </c>
      <c r="D294" s="86" t="s">
        <v>140</v>
      </c>
      <c r="E294" s="86" t="s">
        <v>122</v>
      </c>
      <c r="F294" s="86" t="s">
        <v>112</v>
      </c>
      <c r="G294" s="86">
        <v>26</v>
      </c>
      <c r="H294" s="86">
        <v>643</v>
      </c>
      <c r="I294" s="86">
        <v>1341</v>
      </c>
      <c r="J294" s="87">
        <v>16718</v>
      </c>
      <c r="K294" s="87">
        <v>34866</v>
      </c>
      <c r="L294" s="87">
        <v>18148</v>
      </c>
      <c r="M294" s="87" t="s">
        <v>116</v>
      </c>
    </row>
    <row r="295" spans="1:13" ht="15.6" thickTop="1" thickBot="1" x14ac:dyDescent="0.35">
      <c r="A295" s="85">
        <v>45601</v>
      </c>
      <c r="B295" s="86" t="s">
        <v>297</v>
      </c>
      <c r="C295" s="86" t="s">
        <v>139</v>
      </c>
      <c r="D295" s="86" t="s">
        <v>140</v>
      </c>
      <c r="E295" s="86" t="s">
        <v>122</v>
      </c>
      <c r="F295" s="86" t="s">
        <v>112</v>
      </c>
      <c r="G295" s="86">
        <v>22</v>
      </c>
      <c r="H295" s="86">
        <v>618</v>
      </c>
      <c r="I295" s="86">
        <v>1373</v>
      </c>
      <c r="J295" s="87">
        <v>13596</v>
      </c>
      <c r="K295" s="87">
        <v>30206</v>
      </c>
      <c r="L295" s="87">
        <v>16610</v>
      </c>
      <c r="M295" s="87" t="s">
        <v>116</v>
      </c>
    </row>
    <row r="296" spans="1:13" ht="15.6" thickTop="1" thickBot="1" x14ac:dyDescent="0.35">
      <c r="A296" s="85">
        <v>45601</v>
      </c>
      <c r="B296" s="86" t="s">
        <v>297</v>
      </c>
      <c r="C296" s="86" t="s">
        <v>139</v>
      </c>
      <c r="D296" s="86" t="s">
        <v>140</v>
      </c>
      <c r="E296" s="86" t="s">
        <v>122</v>
      </c>
      <c r="F296" s="86" t="s">
        <v>112</v>
      </c>
      <c r="G296" s="86">
        <v>24</v>
      </c>
      <c r="H296" s="86">
        <v>641</v>
      </c>
      <c r="I296" s="86">
        <v>1337</v>
      </c>
      <c r="J296" s="87">
        <v>15384</v>
      </c>
      <c r="K296" s="87">
        <v>32088</v>
      </c>
      <c r="L296" s="87">
        <v>16704</v>
      </c>
      <c r="M296" s="87" t="s">
        <v>116</v>
      </c>
    </row>
    <row r="297" spans="1:13" ht="15.6" thickTop="1" thickBot="1" x14ac:dyDescent="0.35">
      <c r="A297" s="85">
        <v>45525</v>
      </c>
      <c r="B297" s="86" t="s">
        <v>285</v>
      </c>
      <c r="C297" s="86" t="s">
        <v>139</v>
      </c>
      <c r="D297" s="86" t="s">
        <v>205</v>
      </c>
      <c r="E297" s="86" t="s">
        <v>155</v>
      </c>
      <c r="F297" s="86" t="s">
        <v>112</v>
      </c>
      <c r="G297" s="86">
        <v>30</v>
      </c>
      <c r="H297" s="86">
        <v>792</v>
      </c>
      <c r="I297" s="86">
        <v>1010</v>
      </c>
      <c r="J297" s="87">
        <v>23760</v>
      </c>
      <c r="K297" s="87">
        <v>30300</v>
      </c>
      <c r="L297" s="87">
        <v>6540</v>
      </c>
      <c r="M297" s="87" t="s">
        <v>116</v>
      </c>
    </row>
    <row r="298" spans="1:13" ht="15.6" thickTop="1" thickBot="1" x14ac:dyDescent="0.35">
      <c r="A298" s="85">
        <v>45525</v>
      </c>
      <c r="B298" s="86" t="s">
        <v>285</v>
      </c>
      <c r="C298" s="86" t="s">
        <v>139</v>
      </c>
      <c r="D298" s="86" t="s">
        <v>205</v>
      </c>
      <c r="E298" s="86" t="s">
        <v>155</v>
      </c>
      <c r="F298" s="86" t="s">
        <v>112</v>
      </c>
      <c r="G298" s="86">
        <v>20</v>
      </c>
      <c r="H298" s="86">
        <v>681</v>
      </c>
      <c r="I298" s="86">
        <v>823</v>
      </c>
      <c r="J298" s="87">
        <v>13620</v>
      </c>
      <c r="K298" s="87">
        <v>16460</v>
      </c>
      <c r="L298" s="87">
        <v>2840</v>
      </c>
      <c r="M298" s="87" t="s">
        <v>116</v>
      </c>
    </row>
    <row r="299" spans="1:13" ht="15.6" thickTop="1" thickBot="1" x14ac:dyDescent="0.35">
      <c r="A299" s="85">
        <v>45525</v>
      </c>
      <c r="B299" s="86" t="s">
        <v>285</v>
      </c>
      <c r="C299" s="86" t="s">
        <v>139</v>
      </c>
      <c r="D299" s="86" t="s">
        <v>205</v>
      </c>
      <c r="E299" s="86" t="s">
        <v>155</v>
      </c>
      <c r="F299" s="86" t="s">
        <v>112</v>
      </c>
      <c r="G299" s="86">
        <v>21</v>
      </c>
      <c r="H299" s="86">
        <v>929</v>
      </c>
      <c r="I299" s="86">
        <v>910</v>
      </c>
      <c r="J299" s="87">
        <v>19509</v>
      </c>
      <c r="K299" s="87">
        <v>19110</v>
      </c>
      <c r="L299" s="87">
        <v>-399</v>
      </c>
      <c r="M299" s="87" t="s">
        <v>113</v>
      </c>
    </row>
    <row r="300" spans="1:13" ht="15.6" thickTop="1" thickBot="1" x14ac:dyDescent="0.35">
      <c r="A300" s="85">
        <v>45686</v>
      </c>
      <c r="B300" s="86" t="s">
        <v>198</v>
      </c>
      <c r="C300" s="86" t="s">
        <v>109</v>
      </c>
      <c r="D300" s="86" t="s">
        <v>131</v>
      </c>
      <c r="E300" s="86" t="s">
        <v>133</v>
      </c>
      <c r="F300" s="86" t="s">
        <v>123</v>
      </c>
      <c r="G300" s="86">
        <v>20</v>
      </c>
      <c r="H300" s="86">
        <v>735</v>
      </c>
      <c r="I300" s="86">
        <v>1277</v>
      </c>
      <c r="J300" s="87">
        <v>14700</v>
      </c>
      <c r="K300" s="87">
        <v>25540</v>
      </c>
      <c r="L300" s="87">
        <v>10840</v>
      </c>
      <c r="M300" s="87" t="s">
        <v>116</v>
      </c>
    </row>
    <row r="301" spans="1:13" ht="15.6" thickTop="1" thickBot="1" x14ac:dyDescent="0.35">
      <c r="A301" s="85">
        <v>45686</v>
      </c>
      <c r="B301" s="86" t="s">
        <v>198</v>
      </c>
      <c r="C301" s="86" t="s">
        <v>109</v>
      </c>
      <c r="D301" s="86" t="s">
        <v>131</v>
      </c>
      <c r="E301" s="86" t="s">
        <v>133</v>
      </c>
      <c r="F301" s="86" t="s">
        <v>123</v>
      </c>
      <c r="G301" s="86">
        <v>13</v>
      </c>
      <c r="H301" s="86">
        <v>615</v>
      </c>
      <c r="I301" s="86">
        <v>1010</v>
      </c>
      <c r="J301" s="87">
        <v>7995</v>
      </c>
      <c r="K301" s="87">
        <v>13130</v>
      </c>
      <c r="L301" s="87">
        <v>5135</v>
      </c>
      <c r="M301" s="87" t="s">
        <v>116</v>
      </c>
    </row>
    <row r="302" spans="1:13" ht="15.6" thickTop="1" thickBot="1" x14ac:dyDescent="0.35">
      <c r="A302" s="85">
        <v>45686</v>
      </c>
      <c r="B302" s="86" t="s">
        <v>198</v>
      </c>
      <c r="C302" s="86" t="s">
        <v>109</v>
      </c>
      <c r="D302" s="86" t="s">
        <v>131</v>
      </c>
      <c r="E302" s="86" t="s">
        <v>133</v>
      </c>
      <c r="F302" s="86" t="s">
        <v>123</v>
      </c>
      <c r="G302" s="86">
        <v>13</v>
      </c>
      <c r="H302" s="86">
        <v>528</v>
      </c>
      <c r="I302" s="86">
        <v>1175</v>
      </c>
      <c r="J302" s="87">
        <v>6864</v>
      </c>
      <c r="K302" s="87">
        <v>15275</v>
      </c>
      <c r="L302" s="87">
        <v>8411</v>
      </c>
      <c r="M302" s="87" t="s">
        <v>116</v>
      </c>
    </row>
    <row r="303" spans="1:13" ht="15.6" thickTop="1" thickBot="1" x14ac:dyDescent="0.35">
      <c r="A303" s="85">
        <v>45694</v>
      </c>
      <c r="B303" s="86" t="s">
        <v>330</v>
      </c>
      <c r="C303" s="86" t="s">
        <v>139</v>
      </c>
      <c r="D303" s="86" t="s">
        <v>205</v>
      </c>
      <c r="E303" s="86" t="s">
        <v>118</v>
      </c>
      <c r="F303" s="86" t="s">
        <v>123</v>
      </c>
      <c r="G303" s="86">
        <v>20</v>
      </c>
      <c r="H303" s="86">
        <v>534</v>
      </c>
      <c r="I303" s="86">
        <v>1233</v>
      </c>
      <c r="J303" s="87">
        <v>10680</v>
      </c>
      <c r="K303" s="87">
        <v>24660</v>
      </c>
      <c r="L303" s="87">
        <v>13980</v>
      </c>
      <c r="M303" s="87" t="s">
        <v>116</v>
      </c>
    </row>
    <row r="304" spans="1:13" ht="15.6" thickTop="1" thickBot="1" x14ac:dyDescent="0.35">
      <c r="A304" s="85">
        <v>45694</v>
      </c>
      <c r="B304" s="86" t="s">
        <v>330</v>
      </c>
      <c r="C304" s="86" t="s">
        <v>139</v>
      </c>
      <c r="D304" s="86" t="s">
        <v>205</v>
      </c>
      <c r="E304" s="86" t="s">
        <v>118</v>
      </c>
      <c r="F304" s="86" t="s">
        <v>123</v>
      </c>
      <c r="G304" s="86">
        <v>24</v>
      </c>
      <c r="H304" s="86">
        <v>642</v>
      </c>
      <c r="I304" s="86">
        <v>996</v>
      </c>
      <c r="J304" s="87">
        <v>15408</v>
      </c>
      <c r="K304" s="87">
        <v>23904</v>
      </c>
      <c r="L304" s="87">
        <v>8496</v>
      </c>
      <c r="M304" s="87" t="s">
        <v>116</v>
      </c>
    </row>
    <row r="305" spans="1:13" ht="15.6" thickTop="1" thickBot="1" x14ac:dyDescent="0.35">
      <c r="A305" s="85">
        <v>45648</v>
      </c>
      <c r="B305" s="86" t="s">
        <v>293</v>
      </c>
      <c r="C305" s="86" t="s">
        <v>127</v>
      </c>
      <c r="D305" s="86" t="s">
        <v>207</v>
      </c>
      <c r="E305" s="86" t="s">
        <v>200</v>
      </c>
      <c r="F305" s="86" t="s">
        <v>112</v>
      </c>
      <c r="G305" s="86">
        <v>50</v>
      </c>
      <c r="H305" s="86">
        <v>749</v>
      </c>
      <c r="I305" s="86">
        <v>1269</v>
      </c>
      <c r="J305" s="87">
        <v>37450</v>
      </c>
      <c r="K305" s="87">
        <v>63450</v>
      </c>
      <c r="L305" s="87">
        <v>26000</v>
      </c>
      <c r="M305" s="87" t="s">
        <v>116</v>
      </c>
    </row>
    <row r="306" spans="1:13" ht="15.6" thickTop="1" thickBot="1" x14ac:dyDescent="0.35">
      <c r="A306" s="85">
        <v>45582</v>
      </c>
      <c r="B306" s="86" t="s">
        <v>180</v>
      </c>
      <c r="C306" s="86" t="s">
        <v>109</v>
      </c>
      <c r="D306" s="86" t="s">
        <v>131</v>
      </c>
      <c r="E306" s="86" t="s">
        <v>166</v>
      </c>
      <c r="F306" s="86" t="s">
        <v>123</v>
      </c>
      <c r="G306" s="86">
        <v>17</v>
      </c>
      <c r="H306" s="86">
        <v>642</v>
      </c>
      <c r="I306" s="86">
        <v>1095</v>
      </c>
      <c r="J306" s="78">
        <v>10914</v>
      </c>
      <c r="K306" s="87">
        <v>18615</v>
      </c>
      <c r="L306" s="87">
        <v>7701</v>
      </c>
      <c r="M306" s="87" t="s">
        <v>116</v>
      </c>
    </row>
    <row r="307" spans="1:13" ht="15.6" thickTop="1" thickBot="1" x14ac:dyDescent="0.35">
      <c r="A307" s="85">
        <v>45582</v>
      </c>
      <c r="B307" s="86" t="s">
        <v>180</v>
      </c>
      <c r="C307" s="86" t="s">
        <v>109</v>
      </c>
      <c r="D307" s="86" t="s">
        <v>131</v>
      </c>
      <c r="E307" s="86" t="s">
        <v>166</v>
      </c>
      <c r="F307" s="86" t="s">
        <v>123</v>
      </c>
      <c r="G307" s="86">
        <v>15</v>
      </c>
      <c r="H307" s="86">
        <v>563</v>
      </c>
      <c r="I307" s="86">
        <v>1069</v>
      </c>
      <c r="J307" s="87">
        <v>8445</v>
      </c>
      <c r="K307" s="87">
        <v>16035</v>
      </c>
      <c r="L307" s="87">
        <v>7590</v>
      </c>
      <c r="M307" s="87" t="s">
        <v>116</v>
      </c>
    </row>
    <row r="308" spans="1:13" ht="15.6" thickTop="1" thickBot="1" x14ac:dyDescent="0.35">
      <c r="A308" s="85">
        <v>45582</v>
      </c>
      <c r="B308" s="86" t="s">
        <v>180</v>
      </c>
      <c r="C308" s="86" t="s">
        <v>109</v>
      </c>
      <c r="D308" s="86" t="s">
        <v>131</v>
      </c>
      <c r="E308" s="86" t="s">
        <v>166</v>
      </c>
      <c r="F308" s="86" t="s">
        <v>123</v>
      </c>
      <c r="G308" s="86">
        <v>17</v>
      </c>
      <c r="H308" s="86">
        <v>747</v>
      </c>
      <c r="I308" s="86">
        <v>1190</v>
      </c>
      <c r="J308" s="87">
        <v>12699</v>
      </c>
      <c r="K308" s="87">
        <v>20230</v>
      </c>
      <c r="L308" s="87">
        <v>7531</v>
      </c>
      <c r="M308" s="87" t="s">
        <v>116</v>
      </c>
    </row>
    <row r="309" spans="1:13" ht="15.6" thickTop="1" thickBot="1" x14ac:dyDescent="0.35">
      <c r="A309" s="85">
        <v>45487</v>
      </c>
      <c r="B309" s="86" t="s">
        <v>269</v>
      </c>
      <c r="C309" s="86" t="s">
        <v>139</v>
      </c>
      <c r="D309" s="86" t="s">
        <v>205</v>
      </c>
      <c r="E309" s="86" t="s">
        <v>151</v>
      </c>
      <c r="F309" s="86" t="s">
        <v>123</v>
      </c>
      <c r="G309" s="86">
        <v>29</v>
      </c>
      <c r="H309" s="86">
        <v>861</v>
      </c>
      <c r="I309" s="86">
        <v>820</v>
      </c>
      <c r="J309" s="87">
        <v>24969</v>
      </c>
      <c r="K309" s="87">
        <v>23780</v>
      </c>
      <c r="L309" s="87">
        <v>-1189</v>
      </c>
      <c r="M309" s="87" t="s">
        <v>113</v>
      </c>
    </row>
    <row r="310" spans="1:13" ht="15.6" thickTop="1" thickBot="1" x14ac:dyDescent="0.35">
      <c r="A310" s="85">
        <v>45487</v>
      </c>
      <c r="B310" s="86" t="s">
        <v>269</v>
      </c>
      <c r="C310" s="86" t="s">
        <v>139</v>
      </c>
      <c r="D310" s="86" t="s">
        <v>205</v>
      </c>
      <c r="E310" s="86" t="s">
        <v>151</v>
      </c>
      <c r="F310" s="86" t="s">
        <v>123</v>
      </c>
      <c r="G310" s="86">
        <v>21</v>
      </c>
      <c r="H310" s="86">
        <v>915</v>
      </c>
      <c r="I310" s="86">
        <v>1442</v>
      </c>
      <c r="J310" s="87">
        <v>19215</v>
      </c>
      <c r="K310" s="87">
        <v>30282</v>
      </c>
      <c r="L310" s="87">
        <v>11067</v>
      </c>
      <c r="M310" s="87" t="s">
        <v>116</v>
      </c>
    </row>
    <row r="311" spans="1:13" ht="15.6" thickTop="1" thickBot="1" x14ac:dyDescent="0.35">
      <c r="A311" s="85">
        <v>45487</v>
      </c>
      <c r="B311" s="86" t="s">
        <v>269</v>
      </c>
      <c r="C311" s="86" t="s">
        <v>139</v>
      </c>
      <c r="D311" s="86" t="s">
        <v>205</v>
      </c>
      <c r="E311" s="86" t="s">
        <v>151</v>
      </c>
      <c r="F311" s="86" t="s">
        <v>123</v>
      </c>
      <c r="G311" s="86">
        <v>22</v>
      </c>
      <c r="H311" s="86">
        <v>877</v>
      </c>
      <c r="I311" s="86">
        <v>1120</v>
      </c>
      <c r="J311" s="87">
        <v>19294</v>
      </c>
      <c r="K311" s="87">
        <v>24640</v>
      </c>
      <c r="L311" s="87">
        <v>5346</v>
      </c>
      <c r="M311" s="87" t="s">
        <v>116</v>
      </c>
    </row>
    <row r="312" spans="1:13" ht="15.6" thickTop="1" thickBot="1" x14ac:dyDescent="0.35">
      <c r="A312" s="85">
        <v>45681</v>
      </c>
      <c r="B312" s="91" t="s">
        <v>193</v>
      </c>
      <c r="C312" s="86" t="s">
        <v>109</v>
      </c>
      <c r="D312" s="86" t="s">
        <v>131</v>
      </c>
      <c r="E312" s="86" t="s">
        <v>120</v>
      </c>
      <c r="F312" s="86" t="s">
        <v>112</v>
      </c>
      <c r="G312" s="86">
        <v>17</v>
      </c>
      <c r="H312" s="86">
        <v>626</v>
      </c>
      <c r="I312" s="86">
        <v>1462</v>
      </c>
      <c r="J312" s="87">
        <v>10642</v>
      </c>
      <c r="K312" s="87">
        <v>24854</v>
      </c>
      <c r="L312" s="87">
        <v>14212</v>
      </c>
      <c r="M312" s="87" t="s">
        <v>116</v>
      </c>
    </row>
    <row r="313" spans="1:13" ht="15.6" thickTop="1" thickBot="1" x14ac:dyDescent="0.35">
      <c r="A313" s="85">
        <v>45681</v>
      </c>
      <c r="B313" s="86" t="s">
        <v>193</v>
      </c>
      <c r="C313" s="86" t="s">
        <v>109</v>
      </c>
      <c r="D313" s="86" t="s">
        <v>131</v>
      </c>
      <c r="E313" s="86" t="s">
        <v>120</v>
      </c>
      <c r="F313" s="86" t="s">
        <v>112</v>
      </c>
      <c r="G313" s="86">
        <v>17</v>
      </c>
      <c r="H313" s="86">
        <v>649</v>
      </c>
      <c r="I313" s="86">
        <v>1392</v>
      </c>
      <c r="J313" s="87">
        <v>11033</v>
      </c>
      <c r="K313" s="87">
        <v>23664</v>
      </c>
      <c r="L313" s="87">
        <v>12631</v>
      </c>
      <c r="M313" s="87" t="s">
        <v>116</v>
      </c>
    </row>
    <row r="314" spans="1:13" ht="15.6" thickTop="1" thickBot="1" x14ac:dyDescent="0.35">
      <c r="A314" s="85">
        <v>45681</v>
      </c>
      <c r="B314" s="86" t="s">
        <v>193</v>
      </c>
      <c r="C314" s="86" t="s">
        <v>109</v>
      </c>
      <c r="D314" s="86" t="s">
        <v>131</v>
      </c>
      <c r="E314" s="86" t="s">
        <v>120</v>
      </c>
      <c r="F314" s="86" t="s">
        <v>112</v>
      </c>
      <c r="G314" s="86">
        <v>19</v>
      </c>
      <c r="H314" s="86">
        <v>763</v>
      </c>
      <c r="I314" s="86">
        <v>1036</v>
      </c>
      <c r="J314" s="87">
        <v>14497</v>
      </c>
      <c r="K314" s="87">
        <v>19684</v>
      </c>
      <c r="L314" s="87">
        <v>5187</v>
      </c>
      <c r="M314" s="87" t="s">
        <v>116</v>
      </c>
    </row>
    <row r="315" spans="1:13" ht="15.6" thickTop="1" thickBot="1" x14ac:dyDescent="0.35">
      <c r="A315" s="85">
        <v>45484</v>
      </c>
      <c r="B315" s="86" t="s">
        <v>266</v>
      </c>
      <c r="C315" s="86" t="s">
        <v>139</v>
      </c>
      <c r="D315" s="86" t="s">
        <v>205</v>
      </c>
      <c r="E315" s="86" t="s">
        <v>133</v>
      </c>
      <c r="F315" s="86" t="s">
        <v>123</v>
      </c>
      <c r="G315" s="86">
        <v>26</v>
      </c>
      <c r="H315" s="86">
        <v>771</v>
      </c>
      <c r="I315" s="86">
        <v>1172</v>
      </c>
      <c r="J315" s="87">
        <v>20046</v>
      </c>
      <c r="K315" s="87">
        <v>30472</v>
      </c>
      <c r="L315" s="87">
        <v>10426</v>
      </c>
      <c r="M315" s="87" t="s">
        <v>116</v>
      </c>
    </row>
    <row r="316" spans="1:13" ht="15.6" thickTop="1" thickBot="1" x14ac:dyDescent="0.35">
      <c r="A316" s="85">
        <v>45484</v>
      </c>
      <c r="B316" s="86" t="s">
        <v>266</v>
      </c>
      <c r="C316" s="86" t="s">
        <v>139</v>
      </c>
      <c r="D316" s="86" t="s">
        <v>205</v>
      </c>
      <c r="E316" s="86" t="s">
        <v>133</v>
      </c>
      <c r="F316" s="86" t="s">
        <v>123</v>
      </c>
      <c r="G316" s="86">
        <v>29</v>
      </c>
      <c r="H316" s="86">
        <v>965</v>
      </c>
      <c r="I316" s="86">
        <v>1195</v>
      </c>
      <c r="J316" s="87">
        <v>27985</v>
      </c>
      <c r="K316" s="87">
        <v>34655</v>
      </c>
      <c r="L316" s="87">
        <v>6670</v>
      </c>
      <c r="M316" s="87" t="s">
        <v>116</v>
      </c>
    </row>
    <row r="317" spans="1:13" ht="15.6" thickTop="1" thickBot="1" x14ac:dyDescent="0.35">
      <c r="A317" s="85">
        <v>45484</v>
      </c>
      <c r="B317" s="86" t="s">
        <v>266</v>
      </c>
      <c r="C317" s="86" t="s">
        <v>139</v>
      </c>
      <c r="D317" s="86" t="s">
        <v>205</v>
      </c>
      <c r="E317" s="86" t="s">
        <v>133</v>
      </c>
      <c r="F317" s="86" t="s">
        <v>123</v>
      </c>
      <c r="G317" s="86">
        <v>26</v>
      </c>
      <c r="H317" s="86">
        <v>766</v>
      </c>
      <c r="I317" s="86">
        <v>836</v>
      </c>
      <c r="J317" s="87">
        <v>19916</v>
      </c>
      <c r="K317" s="87">
        <v>21736</v>
      </c>
      <c r="L317" s="87">
        <v>1820</v>
      </c>
      <c r="M317" s="87" t="s">
        <v>116</v>
      </c>
    </row>
    <row r="318" spans="1:13" ht="15.6" thickTop="1" thickBot="1" x14ac:dyDescent="0.35">
      <c r="A318" s="85">
        <v>45633</v>
      </c>
      <c r="B318" s="86" t="s">
        <v>322</v>
      </c>
      <c r="C318" s="86" t="s">
        <v>139</v>
      </c>
      <c r="D318" s="86" t="s">
        <v>205</v>
      </c>
      <c r="E318" s="86" t="s">
        <v>137</v>
      </c>
      <c r="F318" s="86" t="s">
        <v>112</v>
      </c>
      <c r="G318" s="86">
        <v>24</v>
      </c>
      <c r="H318" s="86">
        <v>651</v>
      </c>
      <c r="I318" s="86">
        <v>1386</v>
      </c>
      <c r="J318" s="87">
        <v>15624</v>
      </c>
      <c r="K318" s="87">
        <v>33264</v>
      </c>
      <c r="L318" s="87">
        <v>17640</v>
      </c>
      <c r="M318" s="87" t="s">
        <v>116</v>
      </c>
    </row>
    <row r="319" spans="1:13" ht="15.6" thickTop="1" thickBot="1" x14ac:dyDescent="0.35">
      <c r="A319" s="85">
        <v>45633</v>
      </c>
      <c r="B319" s="86" t="s">
        <v>322</v>
      </c>
      <c r="C319" s="86" t="s">
        <v>139</v>
      </c>
      <c r="D319" s="86" t="s">
        <v>205</v>
      </c>
      <c r="E319" s="86" t="s">
        <v>137</v>
      </c>
      <c r="F319" s="86" t="s">
        <v>112</v>
      </c>
      <c r="G319" s="86">
        <v>20</v>
      </c>
      <c r="H319" s="86">
        <v>976</v>
      </c>
      <c r="I319" s="86">
        <v>905</v>
      </c>
      <c r="J319" s="87">
        <v>19520</v>
      </c>
      <c r="K319" s="87">
        <v>18100</v>
      </c>
      <c r="L319" s="87">
        <v>-1420</v>
      </c>
      <c r="M319" s="87" t="s">
        <v>113</v>
      </c>
    </row>
    <row r="320" spans="1:13" ht="15.6" thickTop="1" thickBot="1" x14ac:dyDescent="0.35">
      <c r="A320" s="85">
        <v>45602</v>
      </c>
      <c r="B320" s="86" t="s">
        <v>248</v>
      </c>
      <c r="C320" s="86" t="s">
        <v>127</v>
      </c>
      <c r="D320" s="86" t="s">
        <v>249</v>
      </c>
      <c r="E320" s="86" t="s">
        <v>125</v>
      </c>
      <c r="F320" s="86" t="s">
        <v>112</v>
      </c>
      <c r="G320" s="86">
        <v>57</v>
      </c>
      <c r="H320" s="86">
        <v>541</v>
      </c>
      <c r="I320" s="86">
        <v>819</v>
      </c>
      <c r="J320" s="87">
        <v>30837</v>
      </c>
      <c r="K320" s="87">
        <v>46683</v>
      </c>
      <c r="L320" s="87">
        <v>15846</v>
      </c>
      <c r="M320" s="87" t="s">
        <v>116</v>
      </c>
    </row>
    <row r="321" spans="1:13" ht="15.6" thickTop="1" thickBot="1" x14ac:dyDescent="0.35">
      <c r="A321" s="85">
        <v>45583</v>
      </c>
      <c r="B321" s="86" t="s">
        <v>227</v>
      </c>
      <c r="C321" s="86" t="s">
        <v>109</v>
      </c>
      <c r="D321" s="86" t="s">
        <v>131</v>
      </c>
      <c r="E321" s="86" t="s">
        <v>146</v>
      </c>
      <c r="F321" s="86" t="s">
        <v>112</v>
      </c>
      <c r="G321" s="86">
        <v>16</v>
      </c>
      <c r="H321" s="86">
        <v>584</v>
      </c>
      <c r="I321" s="86">
        <v>1278</v>
      </c>
      <c r="J321" s="87">
        <v>9344</v>
      </c>
      <c r="K321" s="87">
        <v>20448</v>
      </c>
      <c r="L321" s="87">
        <v>11104</v>
      </c>
      <c r="M321" s="87" t="s">
        <v>116</v>
      </c>
    </row>
    <row r="322" spans="1:13" ht="15.6" thickTop="1" thickBot="1" x14ac:dyDescent="0.35">
      <c r="A322" s="85">
        <v>45512</v>
      </c>
      <c r="B322" s="86" t="s">
        <v>208</v>
      </c>
      <c r="C322" s="86" t="s">
        <v>109</v>
      </c>
      <c r="D322" s="86" t="s">
        <v>131</v>
      </c>
      <c r="E322" s="86" t="s">
        <v>129</v>
      </c>
      <c r="F322" s="86" t="s">
        <v>112</v>
      </c>
      <c r="G322" s="86">
        <v>10</v>
      </c>
      <c r="H322" s="86">
        <v>863</v>
      </c>
      <c r="I322" s="86">
        <v>1386</v>
      </c>
      <c r="J322" s="87">
        <v>8630</v>
      </c>
      <c r="K322" s="87">
        <v>13860</v>
      </c>
      <c r="L322" s="87">
        <v>5230</v>
      </c>
      <c r="M322" s="87" t="s">
        <v>116</v>
      </c>
    </row>
    <row r="323" spans="1:13" ht="15.6" thickTop="1" thickBot="1" x14ac:dyDescent="0.35">
      <c r="A323" s="85">
        <v>45512</v>
      </c>
      <c r="B323" s="86" t="s">
        <v>208</v>
      </c>
      <c r="C323" s="86" t="s">
        <v>109</v>
      </c>
      <c r="D323" s="86" t="s">
        <v>131</v>
      </c>
      <c r="E323" s="86" t="s">
        <v>129</v>
      </c>
      <c r="F323" s="86" t="s">
        <v>112</v>
      </c>
      <c r="G323" s="86">
        <v>20</v>
      </c>
      <c r="H323" s="86">
        <v>525</v>
      </c>
      <c r="I323" s="86">
        <v>1122</v>
      </c>
      <c r="J323" s="87">
        <v>10500</v>
      </c>
      <c r="K323" s="87">
        <v>22440</v>
      </c>
      <c r="L323" s="87">
        <v>11940</v>
      </c>
      <c r="M323" s="87" t="s">
        <v>116</v>
      </c>
    </row>
    <row r="324" spans="1:13" ht="15.6" thickTop="1" thickBot="1" x14ac:dyDescent="0.35">
      <c r="A324" s="85">
        <v>45551</v>
      </c>
      <c r="B324" s="86" t="s">
        <v>170</v>
      </c>
      <c r="C324" s="86" t="s">
        <v>109</v>
      </c>
      <c r="D324" s="86" t="s">
        <v>131</v>
      </c>
      <c r="E324" s="86" t="s">
        <v>151</v>
      </c>
      <c r="F324" s="86" t="s">
        <v>112</v>
      </c>
      <c r="G324" s="86">
        <v>12</v>
      </c>
      <c r="H324" s="86">
        <v>539</v>
      </c>
      <c r="I324" s="86">
        <v>1136</v>
      </c>
      <c r="J324" s="87">
        <v>6468</v>
      </c>
      <c r="K324" s="87">
        <v>13632</v>
      </c>
      <c r="L324" s="87">
        <v>7164</v>
      </c>
      <c r="M324" s="87" t="s">
        <v>116</v>
      </c>
    </row>
    <row r="325" spans="1:13" ht="15.6" thickTop="1" thickBot="1" x14ac:dyDescent="0.35">
      <c r="A325" s="85">
        <v>45551</v>
      </c>
      <c r="B325" s="86" t="s">
        <v>170</v>
      </c>
      <c r="C325" s="86" t="s">
        <v>109</v>
      </c>
      <c r="D325" s="86" t="s">
        <v>131</v>
      </c>
      <c r="E325" s="86" t="s">
        <v>151</v>
      </c>
      <c r="F325" s="86" t="s">
        <v>112</v>
      </c>
      <c r="G325" s="86">
        <v>12</v>
      </c>
      <c r="H325" s="86">
        <v>500</v>
      </c>
      <c r="I325" s="86">
        <v>1276</v>
      </c>
      <c r="J325" s="87">
        <v>6000</v>
      </c>
      <c r="K325" s="87">
        <v>15312</v>
      </c>
      <c r="L325" s="87">
        <v>9312</v>
      </c>
      <c r="M325" s="87" t="s">
        <v>116</v>
      </c>
    </row>
    <row r="326" spans="1:13" ht="15.6" thickTop="1" thickBot="1" x14ac:dyDescent="0.35">
      <c r="A326" s="85">
        <v>45551</v>
      </c>
      <c r="B326" s="86" t="s">
        <v>170</v>
      </c>
      <c r="C326" s="86" t="s">
        <v>109</v>
      </c>
      <c r="D326" s="86" t="s">
        <v>131</v>
      </c>
      <c r="E326" s="86" t="s">
        <v>151</v>
      </c>
      <c r="F326" s="86" t="s">
        <v>112</v>
      </c>
      <c r="G326" s="86">
        <v>20</v>
      </c>
      <c r="H326" s="86">
        <v>529</v>
      </c>
      <c r="I326" s="86">
        <v>1455</v>
      </c>
      <c r="J326" s="87">
        <v>10580</v>
      </c>
      <c r="K326" s="87">
        <v>29100</v>
      </c>
      <c r="L326" s="87">
        <v>18520</v>
      </c>
      <c r="M326" s="87" t="s">
        <v>116</v>
      </c>
    </row>
    <row r="327" spans="1:13" ht="15.6" thickTop="1" thickBot="1" x14ac:dyDescent="0.35">
      <c r="A327" s="85">
        <v>45611</v>
      </c>
      <c r="B327" s="86" t="s">
        <v>300</v>
      </c>
      <c r="C327" s="86" t="s">
        <v>139</v>
      </c>
      <c r="D327" s="86" t="s">
        <v>154</v>
      </c>
      <c r="E327" s="86" t="s">
        <v>129</v>
      </c>
      <c r="F327" s="86" t="s">
        <v>123</v>
      </c>
      <c r="G327" s="86">
        <v>21</v>
      </c>
      <c r="H327" s="86">
        <v>608</v>
      </c>
      <c r="I327" s="86">
        <v>983</v>
      </c>
      <c r="J327" s="87">
        <v>12768</v>
      </c>
      <c r="K327" s="87">
        <v>20643</v>
      </c>
      <c r="L327" s="87">
        <v>7875</v>
      </c>
      <c r="M327" s="87" t="s">
        <v>116</v>
      </c>
    </row>
    <row r="328" spans="1:13" ht="15.6" thickTop="1" thickBot="1" x14ac:dyDescent="0.35">
      <c r="A328" s="85">
        <v>45611</v>
      </c>
      <c r="B328" s="86" t="s">
        <v>300</v>
      </c>
      <c r="C328" s="86" t="s">
        <v>139</v>
      </c>
      <c r="D328" s="86" t="s">
        <v>154</v>
      </c>
      <c r="E328" s="86" t="s">
        <v>129</v>
      </c>
      <c r="F328" s="86" t="s">
        <v>123</v>
      </c>
      <c r="G328" s="86">
        <v>28</v>
      </c>
      <c r="H328" s="86">
        <v>986</v>
      </c>
      <c r="I328" s="86">
        <v>866</v>
      </c>
      <c r="J328" s="87">
        <v>27608</v>
      </c>
      <c r="K328" s="87">
        <v>24248</v>
      </c>
      <c r="L328" s="87">
        <v>-3360</v>
      </c>
      <c r="M328" s="87" t="s">
        <v>113</v>
      </c>
    </row>
    <row r="329" spans="1:13" ht="15.6" thickTop="1" thickBot="1" x14ac:dyDescent="0.35">
      <c r="A329" s="85">
        <v>45611</v>
      </c>
      <c r="B329" s="86" t="s">
        <v>300</v>
      </c>
      <c r="C329" s="86" t="s">
        <v>139</v>
      </c>
      <c r="D329" s="86" t="s">
        <v>154</v>
      </c>
      <c r="E329" s="86" t="s">
        <v>129</v>
      </c>
      <c r="F329" s="86" t="s">
        <v>123</v>
      </c>
      <c r="G329" s="86">
        <v>25</v>
      </c>
      <c r="H329" s="86">
        <v>802</v>
      </c>
      <c r="I329" s="86">
        <v>1126</v>
      </c>
      <c r="J329" s="87">
        <v>20050</v>
      </c>
      <c r="K329" s="87">
        <v>28150</v>
      </c>
      <c r="L329" s="87">
        <v>8100</v>
      </c>
      <c r="M329" s="87" t="s">
        <v>116</v>
      </c>
    </row>
    <row r="330" spans="1:13" ht="15.6" thickTop="1" thickBot="1" x14ac:dyDescent="0.35">
      <c r="A330" s="85">
        <v>45642</v>
      </c>
      <c r="B330" s="86" t="s">
        <v>287</v>
      </c>
      <c r="C330" s="86" t="s">
        <v>127</v>
      </c>
      <c r="D330" s="86" t="s">
        <v>186</v>
      </c>
      <c r="E330" s="86" t="s">
        <v>133</v>
      </c>
      <c r="F330" s="86" t="s">
        <v>112</v>
      </c>
      <c r="G330" s="86">
        <v>56</v>
      </c>
      <c r="H330" s="86">
        <v>516</v>
      </c>
      <c r="I330" s="86">
        <v>1316</v>
      </c>
      <c r="J330" s="87">
        <v>28896</v>
      </c>
      <c r="K330" s="87">
        <v>73696</v>
      </c>
      <c r="L330" s="87">
        <v>44800</v>
      </c>
      <c r="M330" s="87" t="s">
        <v>116</v>
      </c>
    </row>
    <row r="331" spans="1:13" ht="15.6" thickTop="1" thickBot="1" x14ac:dyDescent="0.35">
      <c r="A331" s="85">
        <v>45458</v>
      </c>
      <c r="B331" s="88" t="s">
        <v>201</v>
      </c>
      <c r="C331" s="88" t="s">
        <v>109</v>
      </c>
      <c r="D331" s="88" t="s">
        <v>110</v>
      </c>
      <c r="E331" s="88" t="s">
        <v>120</v>
      </c>
      <c r="F331" s="86" t="s">
        <v>112</v>
      </c>
      <c r="G331" s="86">
        <v>20</v>
      </c>
      <c r="H331" s="86">
        <v>827</v>
      </c>
      <c r="I331" s="86">
        <v>816</v>
      </c>
      <c r="J331" s="87">
        <v>16540</v>
      </c>
      <c r="K331" s="87">
        <v>16320</v>
      </c>
      <c r="L331" s="87">
        <v>-220</v>
      </c>
      <c r="M331" s="87" t="s">
        <v>113</v>
      </c>
    </row>
    <row r="332" spans="1:13" ht="15.6" thickTop="1" thickBot="1" x14ac:dyDescent="0.35">
      <c r="A332" s="85">
        <v>45458</v>
      </c>
      <c r="B332" s="89" t="s">
        <v>201</v>
      </c>
      <c r="C332" s="88" t="s">
        <v>109</v>
      </c>
      <c r="D332" s="89" t="s">
        <v>110</v>
      </c>
      <c r="E332" s="88" t="s">
        <v>120</v>
      </c>
      <c r="F332" s="86" t="s">
        <v>112</v>
      </c>
      <c r="G332" s="86">
        <v>14</v>
      </c>
      <c r="H332" s="86">
        <v>603</v>
      </c>
      <c r="I332" s="86">
        <v>1104</v>
      </c>
      <c r="J332" s="87">
        <v>8442</v>
      </c>
      <c r="K332" s="87">
        <v>15456</v>
      </c>
      <c r="L332" s="87">
        <v>7014</v>
      </c>
      <c r="M332" s="87" t="s">
        <v>116</v>
      </c>
    </row>
    <row r="333" spans="1:13" ht="15.6" thickTop="1" thickBot="1" x14ac:dyDescent="0.35">
      <c r="A333" s="85">
        <v>45566</v>
      </c>
      <c r="B333" s="86" t="s">
        <v>175</v>
      </c>
      <c r="C333" s="86" t="s">
        <v>109</v>
      </c>
      <c r="D333" s="86" t="s">
        <v>110</v>
      </c>
      <c r="E333" s="86" t="s">
        <v>155</v>
      </c>
      <c r="F333" s="86" t="s">
        <v>112</v>
      </c>
      <c r="G333" s="86">
        <v>14</v>
      </c>
      <c r="H333" s="86">
        <v>909</v>
      </c>
      <c r="I333" s="86">
        <v>780</v>
      </c>
      <c r="J333" s="87">
        <v>12726</v>
      </c>
      <c r="K333" s="87">
        <v>10920</v>
      </c>
      <c r="L333" s="87">
        <v>-1806</v>
      </c>
      <c r="M333" s="87" t="s">
        <v>113</v>
      </c>
    </row>
    <row r="334" spans="1:13" ht="15.6" thickTop="1" thickBot="1" x14ac:dyDescent="0.35">
      <c r="A334" s="85">
        <v>45566</v>
      </c>
      <c r="B334" s="86" t="s">
        <v>175</v>
      </c>
      <c r="C334" s="86" t="s">
        <v>109</v>
      </c>
      <c r="D334" s="86" t="s">
        <v>110</v>
      </c>
      <c r="E334" s="86" t="s">
        <v>155</v>
      </c>
      <c r="F334" s="86" t="s">
        <v>112</v>
      </c>
      <c r="G334" s="86">
        <v>17</v>
      </c>
      <c r="H334" s="86">
        <v>932</v>
      </c>
      <c r="I334" s="86">
        <v>808</v>
      </c>
      <c r="J334" s="87">
        <v>15844</v>
      </c>
      <c r="K334" s="87">
        <v>13736</v>
      </c>
      <c r="L334" s="87">
        <v>-2108</v>
      </c>
      <c r="M334" s="87" t="s">
        <v>113</v>
      </c>
    </row>
    <row r="335" spans="1:13" ht="15.6" thickTop="1" thickBot="1" x14ac:dyDescent="0.35">
      <c r="A335" s="85">
        <v>45492</v>
      </c>
      <c r="B335" s="86" t="s">
        <v>274</v>
      </c>
      <c r="C335" s="86" t="s">
        <v>139</v>
      </c>
      <c r="D335" s="86" t="s">
        <v>205</v>
      </c>
      <c r="E335" s="86" t="s">
        <v>240</v>
      </c>
      <c r="F335" s="86" t="s">
        <v>112</v>
      </c>
      <c r="G335" s="86">
        <v>28</v>
      </c>
      <c r="H335" s="86">
        <v>866</v>
      </c>
      <c r="I335" s="86">
        <v>1080</v>
      </c>
      <c r="J335" s="87">
        <v>24248</v>
      </c>
      <c r="K335" s="87">
        <v>30240</v>
      </c>
      <c r="L335" s="87">
        <v>5992</v>
      </c>
      <c r="M335" s="87" t="s">
        <v>116</v>
      </c>
    </row>
    <row r="336" spans="1:13" ht="15.6" thickTop="1" thickBot="1" x14ac:dyDescent="0.35">
      <c r="A336" s="85">
        <v>45492</v>
      </c>
      <c r="B336" s="86" t="s">
        <v>274</v>
      </c>
      <c r="C336" s="86" t="s">
        <v>139</v>
      </c>
      <c r="D336" s="86" t="s">
        <v>205</v>
      </c>
      <c r="E336" s="86" t="s">
        <v>240</v>
      </c>
      <c r="F336" s="86" t="s">
        <v>112</v>
      </c>
      <c r="G336" s="86">
        <v>22</v>
      </c>
      <c r="H336" s="86">
        <v>629</v>
      </c>
      <c r="I336" s="86">
        <v>1263</v>
      </c>
      <c r="J336" s="87">
        <v>13838</v>
      </c>
      <c r="K336" s="87">
        <v>27786</v>
      </c>
      <c r="L336" s="87">
        <v>13948</v>
      </c>
      <c r="M336" s="87" t="s">
        <v>116</v>
      </c>
    </row>
    <row r="337" spans="1:13" ht="15.6" thickTop="1" thickBot="1" x14ac:dyDescent="0.35">
      <c r="A337" s="85">
        <v>45492</v>
      </c>
      <c r="B337" s="86" t="s">
        <v>274</v>
      </c>
      <c r="C337" s="86" t="s">
        <v>139</v>
      </c>
      <c r="D337" s="86" t="s">
        <v>205</v>
      </c>
      <c r="E337" s="86" t="s">
        <v>240</v>
      </c>
      <c r="F337" s="86" t="s">
        <v>112</v>
      </c>
      <c r="G337" s="86">
        <v>26</v>
      </c>
      <c r="H337" s="86">
        <v>969</v>
      </c>
      <c r="I337" s="86">
        <v>1087</v>
      </c>
      <c r="J337" s="87">
        <v>25194</v>
      </c>
      <c r="K337" s="87">
        <v>28262</v>
      </c>
      <c r="L337" s="87">
        <v>3068</v>
      </c>
      <c r="M337" s="87" t="s">
        <v>116</v>
      </c>
    </row>
    <row r="338" spans="1:13" ht="15.6" thickTop="1" thickBot="1" x14ac:dyDescent="0.35">
      <c r="A338" s="85">
        <v>45427</v>
      </c>
      <c r="B338" s="86" t="s">
        <v>260</v>
      </c>
      <c r="C338" s="86" t="s">
        <v>139</v>
      </c>
      <c r="D338" s="86" t="s">
        <v>205</v>
      </c>
      <c r="E338" s="86" t="s">
        <v>166</v>
      </c>
      <c r="F338" s="86" t="s">
        <v>112</v>
      </c>
      <c r="G338" s="86">
        <v>23</v>
      </c>
      <c r="H338" s="86">
        <v>972</v>
      </c>
      <c r="I338" s="86">
        <v>782</v>
      </c>
      <c r="J338" s="87">
        <v>22356</v>
      </c>
      <c r="K338" s="87">
        <v>17986</v>
      </c>
      <c r="L338" s="87">
        <v>-4370</v>
      </c>
      <c r="M338" s="87" t="s">
        <v>113</v>
      </c>
    </row>
    <row r="339" spans="1:13" ht="15.6" thickTop="1" thickBot="1" x14ac:dyDescent="0.35">
      <c r="A339" s="85">
        <v>45427</v>
      </c>
      <c r="B339" s="86" t="s">
        <v>260</v>
      </c>
      <c r="C339" s="86" t="s">
        <v>139</v>
      </c>
      <c r="D339" s="86" t="s">
        <v>205</v>
      </c>
      <c r="E339" s="86" t="s">
        <v>166</v>
      </c>
      <c r="F339" s="86" t="s">
        <v>112</v>
      </c>
      <c r="G339" s="86">
        <v>30</v>
      </c>
      <c r="H339" s="86">
        <v>583</v>
      </c>
      <c r="I339" s="86">
        <v>1500</v>
      </c>
      <c r="J339" s="87">
        <v>17490</v>
      </c>
      <c r="K339" s="87">
        <v>45000</v>
      </c>
      <c r="L339" s="87">
        <v>27510</v>
      </c>
      <c r="M339" s="87" t="s">
        <v>116</v>
      </c>
    </row>
    <row r="340" spans="1:13" ht="15.6" thickTop="1" thickBot="1" x14ac:dyDescent="0.35">
      <c r="A340" s="85">
        <v>45427</v>
      </c>
      <c r="B340" s="86" t="s">
        <v>260</v>
      </c>
      <c r="C340" s="86" t="s">
        <v>139</v>
      </c>
      <c r="D340" s="86" t="s">
        <v>205</v>
      </c>
      <c r="E340" s="86" t="s">
        <v>166</v>
      </c>
      <c r="F340" s="86" t="s">
        <v>112</v>
      </c>
      <c r="G340" s="86">
        <v>29</v>
      </c>
      <c r="H340" s="86">
        <v>655</v>
      </c>
      <c r="I340" s="86">
        <v>950</v>
      </c>
      <c r="J340" s="87">
        <v>18995</v>
      </c>
      <c r="K340" s="87">
        <v>27550</v>
      </c>
      <c r="L340" s="87">
        <v>8555</v>
      </c>
      <c r="M340" s="87" t="s">
        <v>116</v>
      </c>
    </row>
    <row r="341" spans="1:13" ht="15.6" thickTop="1" thickBot="1" x14ac:dyDescent="0.35">
      <c r="A341" s="85">
        <v>45393</v>
      </c>
      <c r="B341" s="86" t="s">
        <v>226</v>
      </c>
      <c r="C341" s="86" t="s">
        <v>139</v>
      </c>
      <c r="D341" s="86" t="s">
        <v>140</v>
      </c>
      <c r="E341" s="86" t="s">
        <v>133</v>
      </c>
      <c r="F341" s="86" t="s">
        <v>112</v>
      </c>
      <c r="G341" s="86">
        <v>21</v>
      </c>
      <c r="H341" s="86">
        <v>829</v>
      </c>
      <c r="I341" s="86">
        <v>950</v>
      </c>
      <c r="J341" s="87">
        <v>17409</v>
      </c>
      <c r="K341" s="87">
        <v>19950</v>
      </c>
      <c r="L341" s="87">
        <v>2541</v>
      </c>
      <c r="M341" s="87" t="s">
        <v>116</v>
      </c>
    </row>
    <row r="342" spans="1:13" ht="15.6" thickTop="1" thickBot="1" x14ac:dyDescent="0.35">
      <c r="A342" s="85">
        <v>45393</v>
      </c>
      <c r="B342" s="86" t="s">
        <v>226</v>
      </c>
      <c r="C342" s="86" t="s">
        <v>139</v>
      </c>
      <c r="D342" s="86" t="s">
        <v>140</v>
      </c>
      <c r="E342" s="86" t="s">
        <v>133</v>
      </c>
      <c r="F342" s="86" t="s">
        <v>112</v>
      </c>
      <c r="G342" s="86">
        <v>22</v>
      </c>
      <c r="H342" s="86">
        <v>832</v>
      </c>
      <c r="I342" s="86">
        <v>769</v>
      </c>
      <c r="J342" s="87">
        <v>18304</v>
      </c>
      <c r="K342" s="87">
        <v>16918</v>
      </c>
      <c r="L342" s="87">
        <v>-1386</v>
      </c>
      <c r="M342" s="87" t="s">
        <v>113</v>
      </c>
    </row>
    <row r="343" spans="1:13" ht="15.6" thickTop="1" thickBot="1" x14ac:dyDescent="0.35">
      <c r="A343" s="85">
        <v>45393</v>
      </c>
      <c r="B343" s="86" t="s">
        <v>226</v>
      </c>
      <c r="C343" s="86" t="s">
        <v>139</v>
      </c>
      <c r="D343" s="86" t="s">
        <v>140</v>
      </c>
      <c r="E343" s="86" t="s">
        <v>133</v>
      </c>
      <c r="F343" s="86" t="s">
        <v>112</v>
      </c>
      <c r="G343" s="86">
        <v>23</v>
      </c>
      <c r="H343" s="86">
        <v>504</v>
      </c>
      <c r="I343" s="86">
        <v>1328</v>
      </c>
      <c r="J343" s="87">
        <v>11592</v>
      </c>
      <c r="K343" s="87">
        <v>30544</v>
      </c>
      <c r="L343" s="87">
        <v>18952</v>
      </c>
      <c r="M343" s="87" t="s">
        <v>116</v>
      </c>
    </row>
    <row r="344" spans="1:13" ht="15.6" thickTop="1" thickBot="1" x14ac:dyDescent="0.35">
      <c r="A344" s="85">
        <v>45419</v>
      </c>
      <c r="B344" s="86" t="s">
        <v>250</v>
      </c>
      <c r="C344" s="86" t="s">
        <v>139</v>
      </c>
      <c r="D344" s="86" t="s">
        <v>205</v>
      </c>
      <c r="E344" s="86" t="s">
        <v>122</v>
      </c>
      <c r="F344" s="86" t="s">
        <v>112</v>
      </c>
      <c r="G344" s="86">
        <v>20</v>
      </c>
      <c r="H344" s="86">
        <v>778</v>
      </c>
      <c r="I344" s="86">
        <v>1096</v>
      </c>
      <c r="J344" s="87">
        <v>15560</v>
      </c>
      <c r="K344" s="87">
        <v>21920</v>
      </c>
      <c r="L344" s="87">
        <v>6360</v>
      </c>
      <c r="M344" s="87" t="s">
        <v>116</v>
      </c>
    </row>
    <row r="345" spans="1:13" ht="15.6" thickTop="1" thickBot="1" x14ac:dyDescent="0.35">
      <c r="A345" s="85">
        <v>45419</v>
      </c>
      <c r="B345" s="86" t="s">
        <v>250</v>
      </c>
      <c r="C345" s="86" t="s">
        <v>139</v>
      </c>
      <c r="D345" s="86" t="s">
        <v>205</v>
      </c>
      <c r="E345" s="86" t="s">
        <v>122</v>
      </c>
      <c r="F345" s="86" t="s">
        <v>112</v>
      </c>
      <c r="G345" s="86">
        <v>21</v>
      </c>
      <c r="H345" s="86">
        <v>722</v>
      </c>
      <c r="I345" s="86">
        <v>1247</v>
      </c>
      <c r="J345" s="87">
        <v>15162</v>
      </c>
      <c r="K345" s="87">
        <v>26187</v>
      </c>
      <c r="L345" s="87">
        <v>11025</v>
      </c>
      <c r="M345" s="87" t="s">
        <v>116</v>
      </c>
    </row>
    <row r="346" spans="1:13" ht="15.6" thickTop="1" thickBot="1" x14ac:dyDescent="0.35">
      <c r="A346" s="85">
        <v>45419</v>
      </c>
      <c r="B346" s="86" t="s">
        <v>250</v>
      </c>
      <c r="C346" s="86" t="s">
        <v>139</v>
      </c>
      <c r="D346" s="86" t="s">
        <v>205</v>
      </c>
      <c r="E346" s="86" t="s">
        <v>122</v>
      </c>
      <c r="F346" s="86" t="s">
        <v>112</v>
      </c>
      <c r="G346" s="86">
        <v>27</v>
      </c>
      <c r="H346" s="86">
        <v>817</v>
      </c>
      <c r="I346" s="86">
        <v>977</v>
      </c>
      <c r="J346" s="87">
        <v>22059</v>
      </c>
      <c r="K346" s="87">
        <v>26379</v>
      </c>
      <c r="L346" s="87">
        <v>4320</v>
      </c>
      <c r="M346" s="87" t="s">
        <v>116</v>
      </c>
    </row>
    <row r="347" spans="1:13" ht="15.6" thickTop="1" thickBot="1" x14ac:dyDescent="0.35">
      <c r="A347" s="85">
        <v>45698</v>
      </c>
      <c r="B347" s="86" t="s">
        <v>336</v>
      </c>
      <c r="C347" s="86" t="s">
        <v>139</v>
      </c>
      <c r="D347" s="86" t="s">
        <v>205</v>
      </c>
      <c r="E347" s="86" t="s">
        <v>125</v>
      </c>
      <c r="F347" s="86" t="s">
        <v>112</v>
      </c>
      <c r="G347" s="86">
        <v>26</v>
      </c>
      <c r="H347" s="86">
        <v>751</v>
      </c>
      <c r="I347" s="86">
        <v>1292</v>
      </c>
      <c r="J347" s="87">
        <v>19526</v>
      </c>
      <c r="K347" s="87">
        <v>33592</v>
      </c>
      <c r="L347" s="87">
        <v>14066</v>
      </c>
      <c r="M347" s="87" t="s">
        <v>116</v>
      </c>
    </row>
    <row r="348" spans="1:13" ht="15.6" thickTop="1" thickBot="1" x14ac:dyDescent="0.35">
      <c r="A348" s="85">
        <v>45621</v>
      </c>
      <c r="B348" s="86" t="s">
        <v>311</v>
      </c>
      <c r="C348" s="86" t="s">
        <v>139</v>
      </c>
      <c r="D348" s="86" t="s">
        <v>154</v>
      </c>
      <c r="E348" s="86" t="s">
        <v>122</v>
      </c>
      <c r="F348" s="86" t="s">
        <v>123</v>
      </c>
      <c r="G348" s="86">
        <v>27</v>
      </c>
      <c r="H348" s="86">
        <v>922</v>
      </c>
      <c r="I348" s="86">
        <v>1284</v>
      </c>
      <c r="J348" s="87">
        <v>24894</v>
      </c>
      <c r="K348" s="87">
        <v>34668</v>
      </c>
      <c r="L348" s="87">
        <v>9774</v>
      </c>
      <c r="M348" s="87" t="s">
        <v>116</v>
      </c>
    </row>
    <row r="349" spans="1:13" ht="15.6" thickTop="1" thickBot="1" x14ac:dyDescent="0.35">
      <c r="A349" s="85">
        <v>45621</v>
      </c>
      <c r="B349" s="86" t="s">
        <v>311</v>
      </c>
      <c r="C349" s="86" t="s">
        <v>139</v>
      </c>
      <c r="D349" s="86" t="s">
        <v>154</v>
      </c>
      <c r="E349" s="86" t="s">
        <v>122</v>
      </c>
      <c r="F349" s="86" t="s">
        <v>123</v>
      </c>
      <c r="G349" s="86">
        <v>30</v>
      </c>
      <c r="H349" s="86">
        <v>790</v>
      </c>
      <c r="I349" s="86">
        <v>1245</v>
      </c>
      <c r="J349" s="87">
        <v>23700</v>
      </c>
      <c r="K349" s="87">
        <v>37350</v>
      </c>
      <c r="L349" s="87">
        <v>13650</v>
      </c>
      <c r="M349" s="87" t="s">
        <v>116</v>
      </c>
    </row>
    <row r="350" spans="1:13" ht="15.6" thickTop="1" thickBot="1" x14ac:dyDescent="0.35">
      <c r="A350" s="85">
        <v>45621</v>
      </c>
      <c r="B350" s="86" t="s">
        <v>311</v>
      </c>
      <c r="C350" s="86" t="s">
        <v>139</v>
      </c>
      <c r="D350" s="86" t="s">
        <v>154</v>
      </c>
      <c r="E350" s="86" t="s">
        <v>122</v>
      </c>
      <c r="F350" s="86" t="s">
        <v>123</v>
      </c>
      <c r="G350" s="86">
        <v>20</v>
      </c>
      <c r="H350" s="86">
        <v>599</v>
      </c>
      <c r="I350" s="86">
        <v>1023</v>
      </c>
      <c r="J350" s="87">
        <v>11980</v>
      </c>
      <c r="K350" s="87">
        <v>20460</v>
      </c>
      <c r="L350" s="87">
        <v>8480</v>
      </c>
      <c r="M350" s="87" t="s">
        <v>116</v>
      </c>
    </row>
    <row r="351" spans="1:13" ht="15.6" thickTop="1" thickBot="1" x14ac:dyDescent="0.35">
      <c r="A351" s="85">
        <v>45662</v>
      </c>
      <c r="B351" s="86" t="s">
        <v>307</v>
      </c>
      <c r="C351" s="86" t="s">
        <v>109</v>
      </c>
      <c r="D351" s="86" t="s">
        <v>110</v>
      </c>
      <c r="E351" s="86" t="s">
        <v>137</v>
      </c>
      <c r="F351" s="86" t="s">
        <v>112</v>
      </c>
      <c r="G351" s="86">
        <v>15</v>
      </c>
      <c r="H351" s="86">
        <v>992</v>
      </c>
      <c r="I351" s="86">
        <v>1404</v>
      </c>
      <c r="J351" s="87">
        <v>14880</v>
      </c>
      <c r="K351" s="87">
        <v>21060</v>
      </c>
      <c r="L351" s="87">
        <v>6180</v>
      </c>
      <c r="M351" s="87" t="s">
        <v>116</v>
      </c>
    </row>
    <row r="352" spans="1:13" ht="15.6" thickTop="1" thickBot="1" x14ac:dyDescent="0.35">
      <c r="A352" s="85">
        <v>45690</v>
      </c>
      <c r="B352" s="86" t="s">
        <v>325</v>
      </c>
      <c r="C352" s="86" t="s">
        <v>139</v>
      </c>
      <c r="D352" s="86" t="s">
        <v>205</v>
      </c>
      <c r="E352" s="86" t="s">
        <v>240</v>
      </c>
      <c r="F352" s="86" t="s">
        <v>112</v>
      </c>
      <c r="G352" s="86">
        <v>23</v>
      </c>
      <c r="H352" s="86">
        <v>827</v>
      </c>
      <c r="I352" s="86">
        <v>1185</v>
      </c>
      <c r="J352" s="87">
        <v>19021</v>
      </c>
      <c r="K352" s="87">
        <v>27255</v>
      </c>
      <c r="L352" s="87">
        <v>8234</v>
      </c>
      <c r="M352" s="87" t="s">
        <v>116</v>
      </c>
    </row>
    <row r="353" spans="1:13" ht="15.6" thickTop="1" thickBot="1" x14ac:dyDescent="0.35">
      <c r="A353" s="85">
        <v>45690</v>
      </c>
      <c r="B353" s="86" t="s">
        <v>325</v>
      </c>
      <c r="C353" s="86" t="s">
        <v>139</v>
      </c>
      <c r="D353" s="86" t="s">
        <v>205</v>
      </c>
      <c r="E353" s="86" t="s">
        <v>240</v>
      </c>
      <c r="F353" s="86" t="s">
        <v>112</v>
      </c>
      <c r="G353" s="86">
        <v>26</v>
      </c>
      <c r="H353" s="86">
        <v>573</v>
      </c>
      <c r="I353" s="86">
        <v>1309</v>
      </c>
      <c r="J353" s="87">
        <v>14898</v>
      </c>
      <c r="K353" s="87">
        <v>34034</v>
      </c>
      <c r="L353" s="87">
        <v>19136</v>
      </c>
      <c r="M353" s="87" t="s">
        <v>116</v>
      </c>
    </row>
    <row r="354" spans="1:13" ht="15.6" thickTop="1" thickBot="1" x14ac:dyDescent="0.35">
      <c r="A354" s="85">
        <v>45521</v>
      </c>
      <c r="B354" s="86" t="s">
        <v>282</v>
      </c>
      <c r="C354" s="86" t="s">
        <v>139</v>
      </c>
      <c r="D354" s="86" t="s">
        <v>205</v>
      </c>
      <c r="E354" s="86" t="s">
        <v>146</v>
      </c>
      <c r="F354" s="86" t="s">
        <v>123</v>
      </c>
      <c r="G354" s="86">
        <v>30</v>
      </c>
      <c r="H354" s="86">
        <v>652</v>
      </c>
      <c r="I354" s="86">
        <v>1151</v>
      </c>
      <c r="J354" s="87">
        <v>19560</v>
      </c>
      <c r="K354" s="87">
        <v>34530</v>
      </c>
      <c r="L354" s="87">
        <v>14970</v>
      </c>
      <c r="M354" s="87" t="s">
        <v>116</v>
      </c>
    </row>
    <row r="355" spans="1:13" ht="15.6" thickTop="1" thickBot="1" x14ac:dyDescent="0.35">
      <c r="A355" s="85">
        <v>45521</v>
      </c>
      <c r="B355" s="86" t="s">
        <v>282</v>
      </c>
      <c r="C355" s="86" t="s">
        <v>139</v>
      </c>
      <c r="D355" s="86" t="s">
        <v>205</v>
      </c>
      <c r="E355" s="86" t="s">
        <v>146</v>
      </c>
      <c r="F355" s="86" t="s">
        <v>123</v>
      </c>
      <c r="G355" s="86">
        <v>28</v>
      </c>
      <c r="H355" s="86">
        <v>855</v>
      </c>
      <c r="I355" s="86">
        <v>930</v>
      </c>
      <c r="J355" s="87">
        <v>23940</v>
      </c>
      <c r="K355" s="87">
        <v>26040</v>
      </c>
      <c r="L355" s="87">
        <v>2100</v>
      </c>
      <c r="M355" s="87" t="s">
        <v>116</v>
      </c>
    </row>
    <row r="356" spans="1:13" ht="15.6" thickTop="1" thickBot="1" x14ac:dyDescent="0.35">
      <c r="A356" s="85">
        <v>45521</v>
      </c>
      <c r="B356" s="86" t="s">
        <v>282</v>
      </c>
      <c r="C356" s="86" t="s">
        <v>139</v>
      </c>
      <c r="D356" s="86" t="s">
        <v>205</v>
      </c>
      <c r="E356" s="86" t="s">
        <v>146</v>
      </c>
      <c r="F356" s="86" t="s">
        <v>123</v>
      </c>
      <c r="G356" s="86">
        <v>24</v>
      </c>
      <c r="H356" s="86">
        <v>845</v>
      </c>
      <c r="I356" s="86">
        <v>1429</v>
      </c>
      <c r="J356" s="87">
        <v>20280</v>
      </c>
      <c r="K356" s="87">
        <v>34296</v>
      </c>
      <c r="L356" s="87">
        <v>14016</v>
      </c>
      <c r="M356" s="87" t="s">
        <v>116</v>
      </c>
    </row>
    <row r="357" spans="1:13" ht="15.6" thickTop="1" thickBot="1" x14ac:dyDescent="0.35">
      <c r="A357" s="85">
        <v>45472</v>
      </c>
      <c r="B357" s="86" t="s">
        <v>130</v>
      </c>
      <c r="C357" s="86" t="s">
        <v>109</v>
      </c>
      <c r="D357" s="86" t="s">
        <v>131</v>
      </c>
      <c r="E357" s="86" t="s">
        <v>129</v>
      </c>
      <c r="F357" s="86" t="s">
        <v>112</v>
      </c>
      <c r="G357" s="86">
        <v>17</v>
      </c>
      <c r="H357" s="86">
        <v>537</v>
      </c>
      <c r="I357" s="86">
        <v>1350</v>
      </c>
      <c r="J357" s="87">
        <v>9129</v>
      </c>
      <c r="K357" s="87">
        <v>22950</v>
      </c>
      <c r="L357" s="87">
        <v>13821</v>
      </c>
      <c r="M357" s="87" t="s">
        <v>116</v>
      </c>
    </row>
    <row r="358" spans="1:13" ht="15.6" thickTop="1" thickBot="1" x14ac:dyDescent="0.35">
      <c r="A358" s="85">
        <v>45472</v>
      </c>
      <c r="B358" s="86" t="s">
        <v>130</v>
      </c>
      <c r="C358" s="86" t="s">
        <v>109</v>
      </c>
      <c r="D358" s="86" t="s">
        <v>131</v>
      </c>
      <c r="E358" s="86" t="s">
        <v>129</v>
      </c>
      <c r="F358" s="86" t="s">
        <v>112</v>
      </c>
      <c r="G358" s="86">
        <v>11</v>
      </c>
      <c r="H358" s="86">
        <v>616</v>
      </c>
      <c r="I358" s="86">
        <v>1015</v>
      </c>
      <c r="J358" s="87">
        <v>6776</v>
      </c>
      <c r="K358" s="87">
        <v>11165</v>
      </c>
      <c r="L358" s="87">
        <v>4389</v>
      </c>
      <c r="M358" s="87" t="s">
        <v>116</v>
      </c>
    </row>
    <row r="359" spans="1:13" ht="15.6" thickTop="1" thickBot="1" x14ac:dyDescent="0.35">
      <c r="A359" s="85">
        <v>45421</v>
      </c>
      <c r="B359" s="86" t="s">
        <v>253</v>
      </c>
      <c r="C359" s="86" t="s">
        <v>139</v>
      </c>
      <c r="D359" s="86" t="s">
        <v>205</v>
      </c>
      <c r="E359" s="86" t="s">
        <v>120</v>
      </c>
      <c r="F359" s="86" t="s">
        <v>112</v>
      </c>
      <c r="G359" s="86">
        <v>27</v>
      </c>
      <c r="H359" s="86">
        <v>722</v>
      </c>
      <c r="I359" s="86">
        <v>1497</v>
      </c>
      <c r="J359" s="87">
        <v>19494</v>
      </c>
      <c r="K359" s="87">
        <v>40419</v>
      </c>
      <c r="L359" s="87">
        <v>20925</v>
      </c>
      <c r="M359" s="87" t="s">
        <v>116</v>
      </c>
    </row>
    <row r="360" spans="1:13" ht="15.6" thickTop="1" thickBot="1" x14ac:dyDescent="0.35">
      <c r="A360" s="85">
        <v>45421</v>
      </c>
      <c r="B360" s="86" t="s">
        <v>253</v>
      </c>
      <c r="C360" s="86" t="s">
        <v>139</v>
      </c>
      <c r="D360" s="86" t="s">
        <v>205</v>
      </c>
      <c r="E360" s="86" t="s">
        <v>120</v>
      </c>
      <c r="F360" s="86" t="s">
        <v>112</v>
      </c>
      <c r="G360" s="86">
        <v>26</v>
      </c>
      <c r="H360" s="86">
        <v>509</v>
      </c>
      <c r="I360" s="86">
        <v>1120</v>
      </c>
      <c r="J360" s="87">
        <v>13234</v>
      </c>
      <c r="K360" s="87">
        <v>29120</v>
      </c>
      <c r="L360" s="87">
        <v>15886</v>
      </c>
      <c r="M360" s="87" t="s">
        <v>116</v>
      </c>
    </row>
    <row r="361" spans="1:13" ht="15.6" thickTop="1" thickBot="1" x14ac:dyDescent="0.35">
      <c r="A361" s="85">
        <v>45421</v>
      </c>
      <c r="B361" s="86" t="s">
        <v>253</v>
      </c>
      <c r="C361" s="86" t="s">
        <v>139</v>
      </c>
      <c r="D361" s="86" t="s">
        <v>205</v>
      </c>
      <c r="E361" s="86" t="s">
        <v>120</v>
      </c>
      <c r="F361" s="86" t="s">
        <v>112</v>
      </c>
      <c r="G361" s="86">
        <v>22</v>
      </c>
      <c r="H361" s="86">
        <v>695</v>
      </c>
      <c r="I361" s="86">
        <v>830</v>
      </c>
      <c r="J361" s="87">
        <v>15290</v>
      </c>
      <c r="K361" s="87">
        <v>18260</v>
      </c>
      <c r="L361" s="87">
        <v>2970</v>
      </c>
      <c r="M361" s="87" t="s">
        <v>116</v>
      </c>
    </row>
    <row r="362" spans="1:13" ht="15.6" thickTop="1" thickBot="1" x14ac:dyDescent="0.35">
      <c r="A362" s="85">
        <v>45412</v>
      </c>
      <c r="B362" s="90" t="s">
        <v>239</v>
      </c>
      <c r="C362" s="86" t="s">
        <v>139</v>
      </c>
      <c r="D362" s="86" t="s">
        <v>154</v>
      </c>
      <c r="E362" s="86" t="s">
        <v>240</v>
      </c>
      <c r="F362" s="86" t="s">
        <v>112</v>
      </c>
      <c r="G362" s="86">
        <v>30</v>
      </c>
      <c r="H362" s="86">
        <v>843</v>
      </c>
      <c r="I362" s="86">
        <v>953</v>
      </c>
      <c r="J362" s="87">
        <v>25290</v>
      </c>
      <c r="K362" s="87">
        <v>28590</v>
      </c>
      <c r="L362" s="87">
        <v>3300</v>
      </c>
      <c r="M362" s="87" t="s">
        <v>116</v>
      </c>
    </row>
    <row r="363" spans="1:13" ht="15.6" thickTop="1" thickBot="1" x14ac:dyDescent="0.35">
      <c r="A363" s="85">
        <v>45412</v>
      </c>
      <c r="B363" s="86" t="s">
        <v>239</v>
      </c>
      <c r="C363" s="86" t="s">
        <v>139</v>
      </c>
      <c r="D363" s="86" t="s">
        <v>154</v>
      </c>
      <c r="E363" s="86" t="s">
        <v>240</v>
      </c>
      <c r="F363" s="86" t="s">
        <v>112</v>
      </c>
      <c r="G363" s="86">
        <v>24</v>
      </c>
      <c r="H363" s="86">
        <v>631</v>
      </c>
      <c r="I363" s="86">
        <v>1304</v>
      </c>
      <c r="J363" s="87">
        <v>15144</v>
      </c>
      <c r="K363" s="87">
        <v>31296</v>
      </c>
      <c r="L363" s="87">
        <v>16152</v>
      </c>
      <c r="M363" s="87" t="s">
        <v>116</v>
      </c>
    </row>
    <row r="364" spans="1:13" ht="15.6" thickTop="1" thickBot="1" x14ac:dyDescent="0.35">
      <c r="A364" s="85">
        <v>45412</v>
      </c>
      <c r="B364" s="86" t="s">
        <v>239</v>
      </c>
      <c r="C364" s="86" t="s">
        <v>139</v>
      </c>
      <c r="D364" s="86" t="s">
        <v>154</v>
      </c>
      <c r="E364" s="86" t="s">
        <v>240</v>
      </c>
      <c r="F364" s="86" t="s">
        <v>112</v>
      </c>
      <c r="G364" s="86">
        <v>28</v>
      </c>
      <c r="H364" s="86">
        <v>901</v>
      </c>
      <c r="I364" s="86">
        <v>1260</v>
      </c>
      <c r="J364" s="87">
        <v>25228</v>
      </c>
      <c r="K364" s="87">
        <v>35280</v>
      </c>
      <c r="L364" s="87">
        <v>10052</v>
      </c>
      <c r="M364" s="87" t="s">
        <v>116</v>
      </c>
    </row>
    <row r="365" spans="1:13" ht="15.6" thickTop="1" thickBot="1" x14ac:dyDescent="0.35">
      <c r="A365" s="85">
        <v>45457</v>
      </c>
      <c r="B365" s="86" t="s">
        <v>119</v>
      </c>
      <c r="C365" s="86" t="s">
        <v>109</v>
      </c>
      <c r="D365" s="86" t="s">
        <v>110</v>
      </c>
      <c r="E365" s="86" t="s">
        <v>120</v>
      </c>
      <c r="F365" s="86" t="s">
        <v>112</v>
      </c>
      <c r="G365" s="86">
        <v>17</v>
      </c>
      <c r="H365" s="86">
        <v>750</v>
      </c>
      <c r="I365" s="86">
        <v>793</v>
      </c>
      <c r="J365" s="87">
        <v>12750</v>
      </c>
      <c r="K365" s="87">
        <v>13481</v>
      </c>
      <c r="L365" s="87">
        <v>731</v>
      </c>
      <c r="M365" s="87" t="s">
        <v>116</v>
      </c>
    </row>
    <row r="366" spans="1:13" ht="15.6" thickTop="1" thickBot="1" x14ac:dyDescent="0.35">
      <c r="A366" s="85">
        <v>45457</v>
      </c>
      <c r="B366" s="86" t="s">
        <v>119</v>
      </c>
      <c r="C366" s="86" t="s">
        <v>109</v>
      </c>
      <c r="D366" s="86" t="s">
        <v>110</v>
      </c>
      <c r="E366" s="86" t="s">
        <v>120</v>
      </c>
      <c r="F366" s="86" t="s">
        <v>112</v>
      </c>
      <c r="G366" s="86">
        <v>13</v>
      </c>
      <c r="H366" s="86">
        <v>986</v>
      </c>
      <c r="I366" s="86">
        <v>1073</v>
      </c>
      <c r="J366" s="87">
        <v>12818</v>
      </c>
      <c r="K366" s="87">
        <v>13949</v>
      </c>
      <c r="L366" s="87">
        <v>1131</v>
      </c>
      <c r="M366" s="87" t="s">
        <v>116</v>
      </c>
    </row>
    <row r="367" spans="1:13" ht="15.6" thickTop="1" thickBot="1" x14ac:dyDescent="0.35">
      <c r="A367" s="85">
        <v>45457</v>
      </c>
      <c r="B367" s="86" t="s">
        <v>119</v>
      </c>
      <c r="C367" s="86" t="s">
        <v>109</v>
      </c>
      <c r="D367" s="86" t="s">
        <v>110</v>
      </c>
      <c r="E367" s="86" t="s">
        <v>120</v>
      </c>
      <c r="F367" s="86" t="s">
        <v>112</v>
      </c>
      <c r="G367" s="86">
        <v>19</v>
      </c>
      <c r="H367" s="86">
        <v>918</v>
      </c>
      <c r="I367" s="86">
        <v>864</v>
      </c>
      <c r="J367" s="87">
        <v>17442</v>
      </c>
      <c r="K367" s="87">
        <v>16416</v>
      </c>
      <c r="L367" s="87">
        <v>-1026</v>
      </c>
      <c r="M367" s="87" t="s">
        <v>113</v>
      </c>
    </row>
    <row r="368" spans="1:13" ht="15.6" thickTop="1" thickBot="1" x14ac:dyDescent="0.35">
      <c r="A368" s="85">
        <v>45689</v>
      </c>
      <c r="B368" s="86" t="s">
        <v>324</v>
      </c>
      <c r="C368" s="86" t="s">
        <v>139</v>
      </c>
      <c r="D368" s="86" t="s">
        <v>205</v>
      </c>
      <c r="E368" s="86" t="s">
        <v>137</v>
      </c>
      <c r="F368" s="86" t="s">
        <v>112</v>
      </c>
      <c r="G368" s="86">
        <v>22</v>
      </c>
      <c r="H368" s="86">
        <v>810</v>
      </c>
      <c r="I368" s="86">
        <v>1201</v>
      </c>
      <c r="J368" s="87">
        <v>17820</v>
      </c>
      <c r="K368" s="87">
        <v>26422</v>
      </c>
      <c r="L368" s="87">
        <v>8602</v>
      </c>
      <c r="M368" s="87" t="s">
        <v>116</v>
      </c>
    </row>
    <row r="369" spans="1:13" ht="15.6" thickTop="1" thickBot="1" x14ac:dyDescent="0.35">
      <c r="A369" s="85">
        <v>45689</v>
      </c>
      <c r="B369" s="86" t="s">
        <v>324</v>
      </c>
      <c r="C369" s="86" t="s">
        <v>139</v>
      </c>
      <c r="D369" s="86" t="s">
        <v>205</v>
      </c>
      <c r="E369" s="86" t="s">
        <v>137</v>
      </c>
      <c r="F369" s="86" t="s">
        <v>112</v>
      </c>
      <c r="G369" s="86">
        <v>23</v>
      </c>
      <c r="H369" s="86">
        <v>755</v>
      </c>
      <c r="I369" s="86">
        <v>806</v>
      </c>
      <c r="J369" s="87">
        <v>17365</v>
      </c>
      <c r="K369" s="87">
        <v>18538</v>
      </c>
      <c r="L369" s="87">
        <v>1173</v>
      </c>
      <c r="M369" s="87" t="s">
        <v>116</v>
      </c>
    </row>
    <row r="370" spans="1:13" ht="15.6" thickTop="1" thickBot="1" x14ac:dyDescent="0.35">
      <c r="A370" s="85">
        <v>45632</v>
      </c>
      <c r="B370" s="86" t="s">
        <v>321</v>
      </c>
      <c r="C370" s="86" t="s">
        <v>139</v>
      </c>
      <c r="D370" s="86" t="s">
        <v>205</v>
      </c>
      <c r="E370" s="86" t="s">
        <v>200</v>
      </c>
      <c r="F370" s="86" t="s">
        <v>123</v>
      </c>
      <c r="G370" s="86">
        <v>30</v>
      </c>
      <c r="H370" s="86">
        <v>557</v>
      </c>
      <c r="I370" s="86">
        <v>886</v>
      </c>
      <c r="J370" s="87">
        <v>16710</v>
      </c>
      <c r="K370" s="87">
        <v>26580</v>
      </c>
      <c r="L370" s="87">
        <v>9870</v>
      </c>
      <c r="M370" s="87" t="s">
        <v>116</v>
      </c>
    </row>
    <row r="371" spans="1:13" ht="15.6" thickTop="1" thickBot="1" x14ac:dyDescent="0.35">
      <c r="A371" s="85">
        <v>45632</v>
      </c>
      <c r="B371" s="86" t="s">
        <v>321</v>
      </c>
      <c r="C371" s="86" t="s">
        <v>139</v>
      </c>
      <c r="D371" s="86" t="s">
        <v>205</v>
      </c>
      <c r="E371" s="86" t="s">
        <v>200</v>
      </c>
      <c r="F371" s="86" t="s">
        <v>123</v>
      </c>
      <c r="G371" s="86">
        <v>26</v>
      </c>
      <c r="H371" s="86">
        <v>909</v>
      </c>
      <c r="I371" s="86">
        <v>1206</v>
      </c>
      <c r="J371" s="87">
        <v>23634</v>
      </c>
      <c r="K371" s="87">
        <v>31356</v>
      </c>
      <c r="L371" s="87">
        <v>7722</v>
      </c>
      <c r="M371" s="87" t="s">
        <v>116</v>
      </c>
    </row>
    <row r="372" spans="1:13" ht="15.6" thickTop="1" thickBot="1" x14ac:dyDescent="0.35">
      <c r="A372" s="85">
        <v>45661</v>
      </c>
      <c r="B372" s="86" t="s">
        <v>187</v>
      </c>
      <c r="C372" s="86" t="s">
        <v>109</v>
      </c>
      <c r="D372" s="86" t="s">
        <v>110</v>
      </c>
      <c r="E372" s="86" t="s">
        <v>161</v>
      </c>
      <c r="F372" s="86" t="s">
        <v>112</v>
      </c>
      <c r="G372" s="86">
        <v>14</v>
      </c>
      <c r="H372" s="86">
        <v>734</v>
      </c>
      <c r="I372" s="86">
        <v>1058</v>
      </c>
      <c r="J372" s="87">
        <v>10276</v>
      </c>
      <c r="K372" s="87">
        <v>14812</v>
      </c>
      <c r="L372" s="87">
        <v>4536</v>
      </c>
      <c r="M372" s="87" t="s">
        <v>116</v>
      </c>
    </row>
    <row r="373" spans="1:13" ht="15.6" thickTop="1" thickBot="1" x14ac:dyDescent="0.35">
      <c r="A373" s="85">
        <v>45661</v>
      </c>
      <c r="B373" s="86" t="s">
        <v>187</v>
      </c>
      <c r="C373" s="86" t="s">
        <v>109</v>
      </c>
      <c r="D373" s="86" t="s">
        <v>110</v>
      </c>
      <c r="E373" s="86" t="s">
        <v>161</v>
      </c>
      <c r="F373" s="86" t="s">
        <v>112</v>
      </c>
      <c r="G373" s="86">
        <v>14</v>
      </c>
      <c r="H373" s="86">
        <v>579</v>
      </c>
      <c r="I373" s="86">
        <v>907</v>
      </c>
      <c r="J373" s="87">
        <v>8106</v>
      </c>
      <c r="K373" s="87">
        <v>12698</v>
      </c>
      <c r="L373" s="87">
        <v>4592</v>
      </c>
      <c r="M373" s="87" t="s">
        <v>116</v>
      </c>
    </row>
    <row r="374" spans="1:13" ht="15.6" thickTop="1" thickBot="1" x14ac:dyDescent="0.35">
      <c r="A374" s="85">
        <v>45620</v>
      </c>
      <c r="B374" s="86" t="s">
        <v>310</v>
      </c>
      <c r="C374" s="86" t="s">
        <v>139</v>
      </c>
      <c r="D374" s="86" t="s">
        <v>154</v>
      </c>
      <c r="E374" s="86" t="s">
        <v>142</v>
      </c>
      <c r="F374" s="86" t="s">
        <v>123</v>
      </c>
      <c r="G374" s="86">
        <v>26</v>
      </c>
      <c r="H374" s="86">
        <v>997</v>
      </c>
      <c r="I374" s="86">
        <v>982</v>
      </c>
      <c r="J374" s="87">
        <v>25922</v>
      </c>
      <c r="K374" s="87">
        <v>25532</v>
      </c>
      <c r="L374" s="87">
        <v>-390</v>
      </c>
      <c r="M374" s="87" t="s">
        <v>113</v>
      </c>
    </row>
    <row r="375" spans="1:13" ht="15.6" thickTop="1" thickBot="1" x14ac:dyDescent="0.35">
      <c r="A375" s="85">
        <v>45620</v>
      </c>
      <c r="B375" s="86" t="s">
        <v>310</v>
      </c>
      <c r="C375" s="86" t="s">
        <v>139</v>
      </c>
      <c r="D375" s="86" t="s">
        <v>154</v>
      </c>
      <c r="E375" s="86" t="s">
        <v>142</v>
      </c>
      <c r="F375" s="86" t="s">
        <v>123</v>
      </c>
      <c r="G375" s="86">
        <v>24</v>
      </c>
      <c r="H375" s="86">
        <v>839</v>
      </c>
      <c r="I375" s="86">
        <v>1092</v>
      </c>
      <c r="J375" s="87">
        <v>20136</v>
      </c>
      <c r="K375" s="87">
        <v>26208</v>
      </c>
      <c r="L375" s="87">
        <v>6072</v>
      </c>
      <c r="M375" s="87" t="s">
        <v>116</v>
      </c>
    </row>
    <row r="376" spans="1:13" ht="15.6" thickTop="1" thickBot="1" x14ac:dyDescent="0.35">
      <c r="A376" s="85">
        <v>45620</v>
      </c>
      <c r="B376" s="86" t="s">
        <v>310</v>
      </c>
      <c r="C376" s="86" t="s">
        <v>139</v>
      </c>
      <c r="D376" s="86" t="s">
        <v>154</v>
      </c>
      <c r="E376" s="86" t="s">
        <v>142</v>
      </c>
      <c r="F376" s="86" t="s">
        <v>123</v>
      </c>
      <c r="G376" s="86">
        <v>24</v>
      </c>
      <c r="H376" s="86">
        <v>736</v>
      </c>
      <c r="I376" s="86">
        <v>1406</v>
      </c>
      <c r="J376" s="87">
        <v>17664</v>
      </c>
      <c r="K376" s="87">
        <v>33744</v>
      </c>
      <c r="L376" s="87">
        <v>16080</v>
      </c>
      <c r="M376" s="87" t="s">
        <v>116</v>
      </c>
    </row>
    <row r="377" spans="1:13" ht="15.6" thickTop="1" thickBot="1" x14ac:dyDescent="0.35">
      <c r="A377" s="85">
        <v>45697</v>
      </c>
      <c r="B377" s="86" t="s">
        <v>334</v>
      </c>
      <c r="C377" s="86" t="s">
        <v>139</v>
      </c>
      <c r="D377" s="86" t="s">
        <v>205</v>
      </c>
      <c r="E377" s="86" t="s">
        <v>122</v>
      </c>
      <c r="F377" s="86" t="s">
        <v>112</v>
      </c>
      <c r="G377" s="86">
        <v>25</v>
      </c>
      <c r="H377" s="86">
        <v>541</v>
      </c>
      <c r="I377" s="86">
        <v>1090</v>
      </c>
      <c r="J377" s="87">
        <v>13525</v>
      </c>
      <c r="K377" s="87">
        <v>27250</v>
      </c>
      <c r="L377" s="87">
        <v>13725</v>
      </c>
      <c r="M377" s="87" t="s">
        <v>116</v>
      </c>
    </row>
    <row r="378" spans="1:13" ht="15.6" thickTop="1" thickBot="1" x14ac:dyDescent="0.35">
      <c r="A378" s="85">
        <v>45697</v>
      </c>
      <c r="B378" s="86" t="s">
        <v>334</v>
      </c>
      <c r="C378" s="86" t="s">
        <v>139</v>
      </c>
      <c r="D378" s="86" t="s">
        <v>205</v>
      </c>
      <c r="E378" s="86" t="s">
        <v>122</v>
      </c>
      <c r="F378" s="86" t="s">
        <v>112</v>
      </c>
      <c r="G378" s="86">
        <v>30</v>
      </c>
      <c r="H378" s="86">
        <v>716</v>
      </c>
      <c r="I378" s="86">
        <v>956</v>
      </c>
      <c r="J378" s="87">
        <v>21480</v>
      </c>
      <c r="K378" s="87">
        <v>28680</v>
      </c>
      <c r="L378" s="87">
        <v>7200</v>
      </c>
      <c r="M378" s="87" t="s">
        <v>116</v>
      </c>
    </row>
    <row r="379" spans="1:13" ht="15.6" thickTop="1" thickBot="1" x14ac:dyDescent="0.35">
      <c r="A379" s="85">
        <v>45680</v>
      </c>
      <c r="B379" s="91" t="s">
        <v>192</v>
      </c>
      <c r="C379" s="86" t="s">
        <v>109</v>
      </c>
      <c r="D379" s="86" t="s">
        <v>131</v>
      </c>
      <c r="E379" s="86" t="s">
        <v>118</v>
      </c>
      <c r="F379" s="86" t="s">
        <v>112</v>
      </c>
      <c r="G379" s="86">
        <v>18</v>
      </c>
      <c r="H379" s="86">
        <v>601</v>
      </c>
      <c r="I379" s="86">
        <v>1246</v>
      </c>
      <c r="J379" s="87">
        <v>10818</v>
      </c>
      <c r="K379" s="87">
        <v>22428</v>
      </c>
      <c r="L379" s="87">
        <v>11610</v>
      </c>
      <c r="M379" s="87" t="s">
        <v>116</v>
      </c>
    </row>
    <row r="380" spans="1:13" ht="15.6" thickTop="1" thickBot="1" x14ac:dyDescent="0.35">
      <c r="A380" s="85">
        <v>45680</v>
      </c>
      <c r="B380" s="86" t="s">
        <v>192</v>
      </c>
      <c r="C380" s="86" t="s">
        <v>109</v>
      </c>
      <c r="D380" s="86" t="s">
        <v>131</v>
      </c>
      <c r="E380" s="86" t="s">
        <v>118</v>
      </c>
      <c r="F380" s="86" t="s">
        <v>112</v>
      </c>
      <c r="G380" s="86">
        <v>18</v>
      </c>
      <c r="H380" s="86">
        <v>632</v>
      </c>
      <c r="I380" s="86">
        <v>1384</v>
      </c>
      <c r="J380" s="87">
        <v>11376</v>
      </c>
      <c r="K380" s="87">
        <v>24912</v>
      </c>
      <c r="L380" s="87">
        <v>13536</v>
      </c>
      <c r="M380" s="87" t="s">
        <v>116</v>
      </c>
    </row>
    <row r="381" spans="1:13" ht="15.6" thickTop="1" thickBot="1" x14ac:dyDescent="0.35">
      <c r="A381" s="85">
        <v>45680</v>
      </c>
      <c r="B381" s="86" t="s">
        <v>192</v>
      </c>
      <c r="C381" s="86" t="s">
        <v>109</v>
      </c>
      <c r="D381" s="86" t="s">
        <v>131</v>
      </c>
      <c r="E381" s="86" t="s">
        <v>118</v>
      </c>
      <c r="F381" s="86" t="s">
        <v>112</v>
      </c>
      <c r="G381" s="86">
        <v>18</v>
      </c>
      <c r="H381" s="86">
        <v>963</v>
      </c>
      <c r="I381" s="86">
        <v>1178</v>
      </c>
      <c r="J381" s="87">
        <v>17334</v>
      </c>
      <c r="K381" s="87">
        <v>21204</v>
      </c>
      <c r="L381" s="87">
        <v>3870</v>
      </c>
      <c r="M381" s="87" t="s">
        <v>116</v>
      </c>
    </row>
    <row r="382" spans="1:13" ht="15.6" thickTop="1" thickBot="1" x14ac:dyDescent="0.35">
      <c r="A382" s="85">
        <v>45524</v>
      </c>
      <c r="B382" s="86" t="s">
        <v>192</v>
      </c>
      <c r="C382" s="86" t="s">
        <v>139</v>
      </c>
      <c r="D382" s="86" t="s">
        <v>205</v>
      </c>
      <c r="E382" s="86" t="s">
        <v>133</v>
      </c>
      <c r="F382" s="86" t="s">
        <v>112</v>
      </c>
      <c r="G382" s="86">
        <v>26</v>
      </c>
      <c r="H382" s="86">
        <v>999</v>
      </c>
      <c r="I382" s="86">
        <v>1112</v>
      </c>
      <c r="J382" s="87">
        <v>25974</v>
      </c>
      <c r="K382" s="87">
        <v>28912</v>
      </c>
      <c r="L382" s="87">
        <v>2938</v>
      </c>
      <c r="M382" s="87" t="s">
        <v>116</v>
      </c>
    </row>
    <row r="383" spans="1:13" ht="15.6" thickTop="1" thickBot="1" x14ac:dyDescent="0.35">
      <c r="A383" s="85">
        <v>45524</v>
      </c>
      <c r="B383" s="86" t="s">
        <v>192</v>
      </c>
      <c r="C383" s="86" t="s">
        <v>139</v>
      </c>
      <c r="D383" s="86" t="s">
        <v>205</v>
      </c>
      <c r="E383" s="86" t="s">
        <v>133</v>
      </c>
      <c r="F383" s="86" t="s">
        <v>112</v>
      </c>
      <c r="G383" s="86">
        <v>25</v>
      </c>
      <c r="H383" s="86">
        <v>533</v>
      </c>
      <c r="I383" s="86">
        <v>860</v>
      </c>
      <c r="J383" s="87">
        <v>13325</v>
      </c>
      <c r="K383" s="87">
        <v>21500</v>
      </c>
      <c r="L383" s="87">
        <v>8175</v>
      </c>
      <c r="M383" s="87" t="s">
        <v>116</v>
      </c>
    </row>
    <row r="384" spans="1:13" ht="15.6" thickTop="1" thickBot="1" x14ac:dyDescent="0.35">
      <c r="A384" s="85">
        <v>45524</v>
      </c>
      <c r="B384" s="86" t="s">
        <v>192</v>
      </c>
      <c r="C384" s="86" t="s">
        <v>139</v>
      </c>
      <c r="D384" s="86" t="s">
        <v>205</v>
      </c>
      <c r="E384" s="86" t="s">
        <v>133</v>
      </c>
      <c r="F384" s="86" t="s">
        <v>112</v>
      </c>
      <c r="G384" s="86">
        <v>27</v>
      </c>
      <c r="H384" s="86">
        <v>583</v>
      </c>
      <c r="I384" s="86">
        <v>1379</v>
      </c>
      <c r="J384" s="87">
        <v>15741</v>
      </c>
      <c r="K384" s="87">
        <v>37233</v>
      </c>
      <c r="L384" s="87">
        <v>21492</v>
      </c>
      <c r="M384" s="87" t="s">
        <v>116</v>
      </c>
    </row>
    <row r="385" spans="1:13" ht="15.6" thickTop="1" thickBot="1" x14ac:dyDescent="0.35">
      <c r="A385" s="85">
        <v>45580</v>
      </c>
      <c r="B385" s="91" t="s">
        <v>178</v>
      </c>
      <c r="C385" s="86" t="s">
        <v>109</v>
      </c>
      <c r="D385" s="80" t="s">
        <v>131</v>
      </c>
      <c r="E385" s="86" t="s">
        <v>125</v>
      </c>
      <c r="F385" s="86" t="s">
        <v>123</v>
      </c>
      <c r="G385" s="86">
        <v>20</v>
      </c>
      <c r="H385" s="86">
        <v>817</v>
      </c>
      <c r="I385" s="86">
        <v>1324</v>
      </c>
      <c r="J385" s="87">
        <v>16340</v>
      </c>
      <c r="K385" s="87">
        <v>26480</v>
      </c>
      <c r="L385" s="87">
        <v>10140</v>
      </c>
      <c r="M385" s="87" t="s">
        <v>116</v>
      </c>
    </row>
    <row r="386" spans="1:13" ht="15.6" thickTop="1" thickBot="1" x14ac:dyDescent="0.35">
      <c r="A386" s="85">
        <v>45580</v>
      </c>
      <c r="B386" s="86" t="s">
        <v>178</v>
      </c>
      <c r="C386" s="86" t="s">
        <v>109</v>
      </c>
      <c r="D386" s="86" t="s">
        <v>131</v>
      </c>
      <c r="E386" s="86" t="s">
        <v>125</v>
      </c>
      <c r="F386" s="86" t="s">
        <v>123</v>
      </c>
      <c r="G386" s="86">
        <v>15</v>
      </c>
      <c r="H386" s="86">
        <v>906</v>
      </c>
      <c r="I386" s="86">
        <v>1485</v>
      </c>
      <c r="J386" s="87">
        <v>13590</v>
      </c>
      <c r="K386" s="87">
        <v>22275</v>
      </c>
      <c r="L386" s="87">
        <v>8685</v>
      </c>
      <c r="M386" s="87" t="s">
        <v>116</v>
      </c>
    </row>
    <row r="387" spans="1:13" ht="15.6" thickTop="1" thickBot="1" x14ac:dyDescent="0.35">
      <c r="A387" s="85">
        <v>45481</v>
      </c>
      <c r="B387" s="91" t="s">
        <v>83</v>
      </c>
      <c r="C387" s="86" t="s">
        <v>109</v>
      </c>
      <c r="D387" s="91" t="s">
        <v>131</v>
      </c>
      <c r="E387" s="91" t="s">
        <v>146</v>
      </c>
      <c r="F387" s="86" t="s">
        <v>123</v>
      </c>
      <c r="G387" s="86">
        <v>20</v>
      </c>
      <c r="H387" s="80">
        <v>517</v>
      </c>
      <c r="I387" s="86">
        <v>1405</v>
      </c>
      <c r="J387" s="87">
        <v>10340</v>
      </c>
      <c r="K387" s="87">
        <v>28100</v>
      </c>
      <c r="L387" s="87">
        <v>17760</v>
      </c>
      <c r="M387" s="87" t="s">
        <v>116</v>
      </c>
    </row>
    <row r="388" spans="1:13" ht="15.6" thickTop="1" thickBot="1" x14ac:dyDescent="0.35">
      <c r="A388" s="85">
        <v>45481</v>
      </c>
      <c r="B388" s="86" t="s">
        <v>83</v>
      </c>
      <c r="C388" s="86" t="s">
        <v>109</v>
      </c>
      <c r="D388" s="86" t="s">
        <v>131</v>
      </c>
      <c r="E388" s="86" t="s">
        <v>146</v>
      </c>
      <c r="F388" s="86" t="s">
        <v>123</v>
      </c>
      <c r="G388" s="86">
        <v>17</v>
      </c>
      <c r="H388" s="86">
        <v>990</v>
      </c>
      <c r="I388" s="86">
        <v>1391</v>
      </c>
      <c r="J388" s="87">
        <v>16830</v>
      </c>
      <c r="K388" s="87">
        <v>23647</v>
      </c>
      <c r="L388" s="87">
        <v>6817</v>
      </c>
      <c r="M388" s="87" t="s">
        <v>116</v>
      </c>
    </row>
    <row r="389" spans="1:13" ht="15.6" thickTop="1" thickBot="1" x14ac:dyDescent="0.35">
      <c r="A389" s="85">
        <v>45481</v>
      </c>
      <c r="B389" s="86" t="s">
        <v>83</v>
      </c>
      <c r="C389" s="86" t="s">
        <v>109</v>
      </c>
      <c r="D389" s="86" t="s">
        <v>131</v>
      </c>
      <c r="E389" s="86" t="s">
        <v>146</v>
      </c>
      <c r="F389" s="86" t="s">
        <v>123</v>
      </c>
      <c r="G389" s="86">
        <v>14</v>
      </c>
      <c r="H389" s="86">
        <v>782</v>
      </c>
      <c r="I389" s="86">
        <v>835</v>
      </c>
      <c r="J389" s="87">
        <v>10948</v>
      </c>
      <c r="K389" s="87">
        <v>11690</v>
      </c>
      <c r="L389" s="87">
        <v>742</v>
      </c>
      <c r="M389" s="87" t="s">
        <v>116</v>
      </c>
    </row>
    <row r="390" spans="1:13" ht="15.6" thickTop="1" thickBot="1" x14ac:dyDescent="0.35">
      <c r="A390" s="85">
        <v>45546</v>
      </c>
      <c r="B390" s="86" t="s">
        <v>164</v>
      </c>
      <c r="C390" s="86" t="s">
        <v>109</v>
      </c>
      <c r="D390" s="86" t="s">
        <v>131</v>
      </c>
      <c r="E390" s="86" t="s">
        <v>155</v>
      </c>
      <c r="F390" s="86" t="s">
        <v>123</v>
      </c>
      <c r="G390" s="86">
        <v>10</v>
      </c>
      <c r="H390" s="86">
        <v>701</v>
      </c>
      <c r="I390" s="86">
        <v>1384</v>
      </c>
      <c r="J390" s="87">
        <v>7010</v>
      </c>
      <c r="K390" s="87">
        <v>13840</v>
      </c>
      <c r="L390" s="87">
        <v>6830</v>
      </c>
      <c r="M390" s="87" t="s">
        <v>116</v>
      </c>
    </row>
    <row r="391" spans="1:13" ht="15.6" thickTop="1" thickBot="1" x14ac:dyDescent="0.35">
      <c r="A391" s="85">
        <v>45546</v>
      </c>
      <c r="B391" s="86" t="s">
        <v>164</v>
      </c>
      <c r="C391" s="86" t="s">
        <v>109</v>
      </c>
      <c r="D391" s="86" t="s">
        <v>131</v>
      </c>
      <c r="E391" s="86" t="s">
        <v>155</v>
      </c>
      <c r="F391" s="86" t="s">
        <v>123</v>
      </c>
      <c r="G391" s="86">
        <v>10</v>
      </c>
      <c r="H391" s="86">
        <v>990</v>
      </c>
      <c r="I391" s="86">
        <v>1030</v>
      </c>
      <c r="J391" s="87">
        <v>9900</v>
      </c>
      <c r="K391" s="87">
        <v>10300</v>
      </c>
      <c r="L391" s="87">
        <v>400</v>
      </c>
      <c r="M391" s="87" t="s">
        <v>116</v>
      </c>
    </row>
    <row r="392" spans="1:13" ht="15.6" thickTop="1" thickBot="1" x14ac:dyDescent="0.35">
      <c r="A392" s="85">
        <v>45546</v>
      </c>
      <c r="B392" s="86" t="s">
        <v>164</v>
      </c>
      <c r="C392" s="86" t="s">
        <v>109</v>
      </c>
      <c r="D392" s="86" t="s">
        <v>131</v>
      </c>
      <c r="E392" s="86" t="s">
        <v>155</v>
      </c>
      <c r="F392" s="86" t="s">
        <v>123</v>
      </c>
      <c r="G392" s="86">
        <v>12</v>
      </c>
      <c r="H392" s="86">
        <v>886</v>
      </c>
      <c r="I392" s="86">
        <v>1233</v>
      </c>
      <c r="J392" s="87">
        <v>10632</v>
      </c>
      <c r="K392" s="87">
        <v>14796</v>
      </c>
      <c r="L392" s="87">
        <v>4164</v>
      </c>
      <c r="M392" s="87" t="s">
        <v>116</v>
      </c>
    </row>
    <row r="393" spans="1:13" ht="15.6" thickTop="1" thickBot="1" x14ac:dyDescent="0.35">
      <c r="A393" s="85">
        <v>45563</v>
      </c>
      <c r="B393" s="86" t="s">
        <v>215</v>
      </c>
      <c r="C393" s="86" t="s">
        <v>109</v>
      </c>
      <c r="D393" s="86" t="s">
        <v>110</v>
      </c>
      <c r="E393" s="86" t="s">
        <v>133</v>
      </c>
      <c r="F393" s="86" t="s">
        <v>112</v>
      </c>
      <c r="G393" s="86">
        <v>15</v>
      </c>
      <c r="H393" s="86">
        <v>650</v>
      </c>
      <c r="I393" s="86">
        <v>1347</v>
      </c>
      <c r="J393" s="87">
        <v>9750</v>
      </c>
      <c r="K393" s="87">
        <v>20205</v>
      </c>
      <c r="L393" s="87">
        <v>10455</v>
      </c>
      <c r="M393" s="87" t="s">
        <v>116</v>
      </c>
    </row>
    <row r="394" spans="1:13" ht="15.6" thickTop="1" thickBot="1" x14ac:dyDescent="0.35">
      <c r="A394" s="85">
        <v>45413</v>
      </c>
      <c r="B394" s="90" t="s">
        <v>241</v>
      </c>
      <c r="C394" s="86" t="s">
        <v>139</v>
      </c>
      <c r="D394" s="86" t="s">
        <v>154</v>
      </c>
      <c r="E394" s="86" t="s">
        <v>242</v>
      </c>
      <c r="F394" s="86" t="s">
        <v>112</v>
      </c>
      <c r="G394" s="86">
        <v>21</v>
      </c>
      <c r="H394" s="86">
        <v>571</v>
      </c>
      <c r="I394" s="86">
        <v>900</v>
      </c>
      <c r="J394" s="87">
        <v>11991</v>
      </c>
      <c r="K394" s="87">
        <v>18900</v>
      </c>
      <c r="L394" s="87">
        <v>6909</v>
      </c>
      <c r="M394" s="87" t="s">
        <v>116</v>
      </c>
    </row>
    <row r="395" spans="1:13" ht="15.6" thickTop="1" thickBot="1" x14ac:dyDescent="0.35">
      <c r="A395" s="85">
        <v>45413</v>
      </c>
      <c r="B395" s="86" t="s">
        <v>241</v>
      </c>
      <c r="C395" s="86" t="s">
        <v>139</v>
      </c>
      <c r="D395" s="86" t="s">
        <v>154</v>
      </c>
      <c r="E395" s="86" t="s">
        <v>242</v>
      </c>
      <c r="F395" s="86" t="s">
        <v>112</v>
      </c>
      <c r="G395" s="86">
        <v>24</v>
      </c>
      <c r="H395" s="86">
        <v>833</v>
      </c>
      <c r="I395" s="86">
        <v>1280</v>
      </c>
      <c r="J395" s="87">
        <v>19992</v>
      </c>
      <c r="K395" s="87">
        <v>30720</v>
      </c>
      <c r="L395" s="87">
        <v>10728</v>
      </c>
      <c r="M395" s="87" t="s">
        <v>116</v>
      </c>
    </row>
    <row r="396" spans="1:13" ht="15.6" thickTop="1" thickBot="1" x14ac:dyDescent="0.35">
      <c r="A396" s="85">
        <v>45413</v>
      </c>
      <c r="B396" s="86" t="s">
        <v>241</v>
      </c>
      <c r="C396" s="86" t="s">
        <v>139</v>
      </c>
      <c r="D396" s="86" t="s">
        <v>154</v>
      </c>
      <c r="E396" s="86" t="s">
        <v>242</v>
      </c>
      <c r="F396" s="86" t="s">
        <v>112</v>
      </c>
      <c r="G396" s="86">
        <v>28</v>
      </c>
      <c r="H396" s="86">
        <v>796</v>
      </c>
      <c r="I396" s="86">
        <v>1407</v>
      </c>
      <c r="J396" s="87">
        <v>22288</v>
      </c>
      <c r="K396" s="87">
        <v>39396</v>
      </c>
      <c r="L396" s="87">
        <v>17108</v>
      </c>
      <c r="M396" s="87" t="s">
        <v>116</v>
      </c>
    </row>
    <row r="397" spans="1:13" ht="15.6" thickTop="1" thickBot="1" x14ac:dyDescent="0.35">
      <c r="A397" s="85">
        <v>45475</v>
      </c>
      <c r="B397" s="86" t="s">
        <v>203</v>
      </c>
      <c r="C397" s="86" t="s">
        <v>109</v>
      </c>
      <c r="D397" s="86" t="s">
        <v>131</v>
      </c>
      <c r="E397" s="86" t="s">
        <v>137</v>
      </c>
      <c r="F397" s="86" t="s">
        <v>112</v>
      </c>
      <c r="G397" s="86">
        <v>15</v>
      </c>
      <c r="H397" s="86">
        <v>910</v>
      </c>
      <c r="I397" s="86">
        <v>916</v>
      </c>
      <c r="J397" s="87">
        <v>13650</v>
      </c>
      <c r="K397" s="87">
        <v>13740</v>
      </c>
      <c r="L397" s="87">
        <v>90</v>
      </c>
      <c r="M397" s="87" t="s">
        <v>116</v>
      </c>
    </row>
    <row r="398" spans="1:13" ht="15.6" thickTop="1" thickBot="1" x14ac:dyDescent="0.35">
      <c r="A398" s="85">
        <v>45475</v>
      </c>
      <c r="B398" s="86" t="s">
        <v>203</v>
      </c>
      <c r="C398" s="86" t="s">
        <v>109</v>
      </c>
      <c r="D398" s="86" t="s">
        <v>131</v>
      </c>
      <c r="E398" s="86" t="s">
        <v>137</v>
      </c>
      <c r="F398" s="86" t="s">
        <v>112</v>
      </c>
      <c r="G398" s="86">
        <v>19</v>
      </c>
      <c r="H398" s="86">
        <v>860</v>
      </c>
      <c r="I398" s="86">
        <v>1234</v>
      </c>
      <c r="J398" s="87">
        <v>16340</v>
      </c>
      <c r="K398" s="87">
        <v>23446</v>
      </c>
      <c r="L398" s="87">
        <v>7106</v>
      </c>
      <c r="M398" s="87" t="s">
        <v>116</v>
      </c>
    </row>
    <row r="399" spans="1:13" ht="15.6" thickTop="1" thickBot="1" x14ac:dyDescent="0.35">
      <c r="A399" s="85">
        <v>45441</v>
      </c>
      <c r="B399" s="86" t="s">
        <v>195</v>
      </c>
      <c r="C399" s="86" t="s">
        <v>127</v>
      </c>
      <c r="D399" s="86" t="s">
        <v>186</v>
      </c>
      <c r="E399" s="86" t="s">
        <v>146</v>
      </c>
      <c r="F399" s="86" t="s">
        <v>123</v>
      </c>
      <c r="G399" s="86">
        <v>50</v>
      </c>
      <c r="H399" s="86">
        <v>639</v>
      </c>
      <c r="I399" s="86">
        <v>789</v>
      </c>
      <c r="J399" s="87">
        <v>31950</v>
      </c>
      <c r="K399" s="87">
        <v>39450</v>
      </c>
      <c r="L399" s="87">
        <v>7500</v>
      </c>
      <c r="M399" s="87" t="s">
        <v>116</v>
      </c>
    </row>
    <row r="400" spans="1:13" ht="15.6" thickTop="1" thickBot="1" x14ac:dyDescent="0.35">
      <c r="A400" s="85">
        <v>45441</v>
      </c>
      <c r="B400" s="86" t="s">
        <v>195</v>
      </c>
      <c r="C400" s="86" t="s">
        <v>127</v>
      </c>
      <c r="D400" s="86" t="s">
        <v>186</v>
      </c>
      <c r="E400" s="86" t="s">
        <v>146</v>
      </c>
      <c r="F400" s="86" t="s">
        <v>123</v>
      </c>
      <c r="G400" s="86">
        <v>67</v>
      </c>
      <c r="H400" s="86">
        <v>796</v>
      </c>
      <c r="I400" s="86">
        <v>1347</v>
      </c>
      <c r="J400" s="87">
        <v>53332</v>
      </c>
      <c r="K400" s="87">
        <v>90249</v>
      </c>
      <c r="L400" s="87">
        <v>36917</v>
      </c>
      <c r="M400" s="87" t="s">
        <v>116</v>
      </c>
    </row>
    <row r="401" spans="1:13" ht="15.6" thickTop="1" thickBot="1" x14ac:dyDescent="0.35">
      <c r="A401" s="85">
        <v>45519</v>
      </c>
      <c r="B401" s="86" t="s">
        <v>280</v>
      </c>
      <c r="C401" s="86" t="s">
        <v>139</v>
      </c>
      <c r="D401" s="86" t="s">
        <v>205</v>
      </c>
      <c r="E401" s="86" t="s">
        <v>122</v>
      </c>
      <c r="F401" s="86" t="s">
        <v>112</v>
      </c>
      <c r="G401" s="86">
        <v>29</v>
      </c>
      <c r="H401" s="86">
        <v>544</v>
      </c>
      <c r="I401" s="86">
        <v>1436</v>
      </c>
      <c r="J401" s="87">
        <v>15776</v>
      </c>
      <c r="K401" s="87">
        <v>41644</v>
      </c>
      <c r="L401" s="87">
        <v>25868</v>
      </c>
      <c r="M401" s="87" t="s">
        <v>116</v>
      </c>
    </row>
    <row r="402" spans="1:13" ht="15.6" thickTop="1" thickBot="1" x14ac:dyDescent="0.35">
      <c r="A402" s="85">
        <v>45519</v>
      </c>
      <c r="B402" s="86" t="s">
        <v>280</v>
      </c>
      <c r="C402" s="86" t="s">
        <v>139</v>
      </c>
      <c r="D402" s="86" t="s">
        <v>205</v>
      </c>
      <c r="E402" s="86" t="s">
        <v>122</v>
      </c>
      <c r="F402" s="86" t="s">
        <v>112</v>
      </c>
      <c r="G402" s="86">
        <v>20</v>
      </c>
      <c r="H402" s="86">
        <v>751</v>
      </c>
      <c r="I402" s="86">
        <v>861</v>
      </c>
      <c r="J402" s="87">
        <v>15020</v>
      </c>
      <c r="K402" s="87">
        <v>17220</v>
      </c>
      <c r="L402" s="87">
        <v>2200</v>
      </c>
      <c r="M402" s="87" t="s">
        <v>116</v>
      </c>
    </row>
    <row r="403" spans="1:13" ht="15.6" thickTop="1" thickBot="1" x14ac:dyDescent="0.35">
      <c r="A403" s="85">
        <v>45519</v>
      </c>
      <c r="B403" s="86" t="s">
        <v>280</v>
      </c>
      <c r="C403" s="86" t="s">
        <v>139</v>
      </c>
      <c r="D403" s="86" t="s">
        <v>205</v>
      </c>
      <c r="E403" s="86" t="s">
        <v>122</v>
      </c>
      <c r="F403" s="86" t="s">
        <v>112</v>
      </c>
      <c r="G403" s="86">
        <v>22</v>
      </c>
      <c r="H403" s="86">
        <v>749</v>
      </c>
      <c r="I403" s="86">
        <v>850</v>
      </c>
      <c r="J403" s="87">
        <v>16478</v>
      </c>
      <c r="K403" s="87">
        <v>18700</v>
      </c>
      <c r="L403" s="87">
        <v>2222</v>
      </c>
      <c r="M403" s="87" t="s">
        <v>116</v>
      </c>
    </row>
    <row r="404" spans="1:13" ht="15.6" thickTop="1" thickBot="1" x14ac:dyDescent="0.35">
      <c r="A404" s="85">
        <v>45596</v>
      </c>
      <c r="B404" s="86" t="s">
        <v>290</v>
      </c>
      <c r="C404" s="86" t="s">
        <v>139</v>
      </c>
      <c r="D404" s="86" t="s">
        <v>140</v>
      </c>
      <c r="E404" s="86" t="s">
        <v>111</v>
      </c>
      <c r="F404" s="86" t="s">
        <v>123</v>
      </c>
      <c r="G404" s="86">
        <v>30</v>
      </c>
      <c r="H404" s="86">
        <v>539</v>
      </c>
      <c r="I404" s="86">
        <v>1364</v>
      </c>
      <c r="J404" s="87">
        <v>16170</v>
      </c>
      <c r="K404" s="87">
        <v>40920</v>
      </c>
      <c r="L404" s="87">
        <v>24750</v>
      </c>
      <c r="M404" s="87" t="s">
        <v>116</v>
      </c>
    </row>
    <row r="405" spans="1:13" ht="15.6" thickTop="1" thickBot="1" x14ac:dyDescent="0.35">
      <c r="A405" s="85">
        <v>45596</v>
      </c>
      <c r="B405" s="86" t="s">
        <v>290</v>
      </c>
      <c r="C405" s="86" t="s">
        <v>139</v>
      </c>
      <c r="D405" s="86" t="s">
        <v>140</v>
      </c>
      <c r="E405" s="86" t="s">
        <v>111</v>
      </c>
      <c r="F405" s="86" t="s">
        <v>123</v>
      </c>
      <c r="G405" s="86">
        <v>29</v>
      </c>
      <c r="H405" s="86">
        <v>895</v>
      </c>
      <c r="I405" s="86">
        <v>882</v>
      </c>
      <c r="J405" s="87">
        <v>25955</v>
      </c>
      <c r="K405" s="87">
        <v>25578</v>
      </c>
      <c r="L405" s="87">
        <v>-377</v>
      </c>
      <c r="M405" s="87" t="s">
        <v>113</v>
      </c>
    </row>
    <row r="406" spans="1:13" ht="15.6" thickTop="1" thickBot="1" x14ac:dyDescent="0.35">
      <c r="A406" s="85">
        <v>45596</v>
      </c>
      <c r="B406" s="86" t="s">
        <v>290</v>
      </c>
      <c r="C406" s="86" t="s">
        <v>139</v>
      </c>
      <c r="D406" s="86" t="s">
        <v>140</v>
      </c>
      <c r="E406" s="86" t="s">
        <v>111</v>
      </c>
      <c r="F406" s="86" t="s">
        <v>123</v>
      </c>
      <c r="G406" s="86">
        <v>21</v>
      </c>
      <c r="H406" s="86">
        <v>596</v>
      </c>
      <c r="I406" s="86">
        <v>838</v>
      </c>
      <c r="J406" s="87">
        <v>12516</v>
      </c>
      <c r="K406" s="87">
        <v>17598</v>
      </c>
      <c r="L406" s="87">
        <v>5082</v>
      </c>
      <c r="M406" s="87" t="s">
        <v>116</v>
      </c>
    </row>
    <row r="407" spans="1:13" ht="15.6" thickTop="1" thickBot="1" x14ac:dyDescent="0.35">
      <c r="A407" s="85">
        <v>45396</v>
      </c>
      <c r="B407" s="86" t="s">
        <v>229</v>
      </c>
      <c r="C407" s="86" t="s">
        <v>139</v>
      </c>
      <c r="D407" s="86" t="s">
        <v>140</v>
      </c>
      <c r="E407" s="86" t="s">
        <v>122</v>
      </c>
      <c r="F407" s="86" t="s">
        <v>112</v>
      </c>
      <c r="G407" s="86">
        <v>20</v>
      </c>
      <c r="H407" s="86">
        <v>648</v>
      </c>
      <c r="I407" s="86">
        <v>1106</v>
      </c>
      <c r="J407" s="87">
        <v>12960</v>
      </c>
      <c r="K407" s="87">
        <v>22120</v>
      </c>
      <c r="L407" s="87">
        <v>9160</v>
      </c>
      <c r="M407" s="87" t="s">
        <v>116</v>
      </c>
    </row>
    <row r="408" spans="1:13" ht="15.6" thickTop="1" thickBot="1" x14ac:dyDescent="0.35">
      <c r="A408" s="85">
        <v>45396</v>
      </c>
      <c r="B408" s="86" t="s">
        <v>229</v>
      </c>
      <c r="C408" s="86" t="s">
        <v>139</v>
      </c>
      <c r="D408" s="86" t="s">
        <v>140</v>
      </c>
      <c r="E408" s="86" t="s">
        <v>122</v>
      </c>
      <c r="F408" s="86" t="s">
        <v>112</v>
      </c>
      <c r="G408" s="86">
        <v>22</v>
      </c>
      <c r="H408" s="86">
        <v>622</v>
      </c>
      <c r="I408" s="86">
        <v>822</v>
      </c>
      <c r="J408" s="87">
        <v>13684</v>
      </c>
      <c r="K408" s="87">
        <v>18084</v>
      </c>
      <c r="L408" s="87">
        <v>4400</v>
      </c>
      <c r="M408" s="87" t="s">
        <v>116</v>
      </c>
    </row>
    <row r="409" spans="1:13" ht="15.6" thickTop="1" thickBot="1" x14ac:dyDescent="0.35">
      <c r="A409" s="85">
        <v>45396</v>
      </c>
      <c r="B409" s="86" t="s">
        <v>229</v>
      </c>
      <c r="C409" s="86" t="s">
        <v>139</v>
      </c>
      <c r="D409" s="86" t="s">
        <v>140</v>
      </c>
      <c r="E409" s="86" t="s">
        <v>122</v>
      </c>
      <c r="F409" s="86" t="s">
        <v>112</v>
      </c>
      <c r="G409" s="86">
        <v>27</v>
      </c>
      <c r="H409" s="86">
        <v>966</v>
      </c>
      <c r="I409" s="86">
        <v>850</v>
      </c>
      <c r="J409" s="87">
        <v>26082</v>
      </c>
      <c r="K409" s="87">
        <v>22950</v>
      </c>
      <c r="L409" s="87">
        <v>-3132</v>
      </c>
      <c r="M409" s="87" t="s">
        <v>113</v>
      </c>
    </row>
    <row r="410" spans="1:13" ht="15.6" thickTop="1" thickBot="1" x14ac:dyDescent="0.35">
      <c r="A410" s="85">
        <v>45544</v>
      </c>
      <c r="B410" s="86" t="s">
        <v>162</v>
      </c>
      <c r="C410" s="86" t="s">
        <v>109</v>
      </c>
      <c r="D410" s="86" t="s">
        <v>131</v>
      </c>
      <c r="E410" s="86" t="s">
        <v>137</v>
      </c>
      <c r="F410" s="86" t="s">
        <v>123</v>
      </c>
      <c r="G410" s="86">
        <v>15</v>
      </c>
      <c r="H410" s="86">
        <v>890</v>
      </c>
      <c r="I410" s="86">
        <v>1362</v>
      </c>
      <c r="J410" s="87">
        <v>13350</v>
      </c>
      <c r="K410" s="87">
        <v>20430</v>
      </c>
      <c r="L410" s="87">
        <v>7080</v>
      </c>
      <c r="M410" s="87" t="s">
        <v>116</v>
      </c>
    </row>
    <row r="411" spans="1:13" ht="15.6" thickTop="1" thickBot="1" x14ac:dyDescent="0.35">
      <c r="A411" s="85">
        <v>45544</v>
      </c>
      <c r="B411" s="86" t="s">
        <v>162</v>
      </c>
      <c r="C411" s="86" t="s">
        <v>109</v>
      </c>
      <c r="D411" s="86" t="s">
        <v>131</v>
      </c>
      <c r="E411" s="86" t="s">
        <v>137</v>
      </c>
      <c r="F411" s="86" t="s">
        <v>123</v>
      </c>
      <c r="G411" s="86">
        <v>10</v>
      </c>
      <c r="H411" s="86">
        <v>654</v>
      </c>
      <c r="I411" s="86">
        <v>1029</v>
      </c>
      <c r="J411" s="87">
        <v>6540</v>
      </c>
      <c r="K411" s="87">
        <v>10290</v>
      </c>
      <c r="L411" s="87">
        <v>3750</v>
      </c>
      <c r="M411" s="87" t="s">
        <v>116</v>
      </c>
    </row>
    <row r="412" spans="1:13" ht="15.6" thickTop="1" thickBot="1" x14ac:dyDescent="0.35">
      <c r="A412" s="85">
        <v>45455</v>
      </c>
      <c r="B412" s="86" t="s">
        <v>114</v>
      </c>
      <c r="C412" s="86" t="s">
        <v>109</v>
      </c>
      <c r="D412" s="86" t="s">
        <v>110</v>
      </c>
      <c r="E412" s="86" t="s">
        <v>115</v>
      </c>
      <c r="F412" s="86" t="s">
        <v>112</v>
      </c>
      <c r="G412" s="86">
        <v>18</v>
      </c>
      <c r="H412" s="86">
        <v>920</v>
      </c>
      <c r="I412" s="86">
        <v>1360</v>
      </c>
      <c r="J412" s="87">
        <v>16560</v>
      </c>
      <c r="K412" s="87">
        <v>24480</v>
      </c>
      <c r="L412" s="87">
        <v>7920</v>
      </c>
      <c r="M412" s="87" t="s">
        <v>116</v>
      </c>
    </row>
    <row r="413" spans="1:13" ht="15.6" thickTop="1" thickBot="1" x14ac:dyDescent="0.35">
      <c r="A413" s="85">
        <v>45455</v>
      </c>
      <c r="B413" s="86" t="s">
        <v>114</v>
      </c>
      <c r="C413" s="86" t="s">
        <v>109</v>
      </c>
      <c r="D413" s="86" t="s">
        <v>110</v>
      </c>
      <c r="E413" s="86" t="s">
        <v>115</v>
      </c>
      <c r="F413" s="86" t="s">
        <v>112</v>
      </c>
      <c r="G413" s="86">
        <v>16</v>
      </c>
      <c r="H413" s="86">
        <v>848</v>
      </c>
      <c r="I413" s="86">
        <v>1211</v>
      </c>
      <c r="J413" s="87">
        <v>13568</v>
      </c>
      <c r="K413" s="87">
        <v>19376</v>
      </c>
      <c r="L413" s="87">
        <v>5808</v>
      </c>
      <c r="M413" s="87" t="s">
        <v>116</v>
      </c>
    </row>
    <row r="414" spans="1:13" ht="15.6" thickTop="1" thickBot="1" x14ac:dyDescent="0.35">
      <c r="A414" s="85">
        <v>45615</v>
      </c>
      <c r="B414" s="86" t="s">
        <v>303</v>
      </c>
      <c r="C414" s="86" t="s">
        <v>139</v>
      </c>
      <c r="D414" s="86" t="s">
        <v>154</v>
      </c>
      <c r="E414" s="86" t="s">
        <v>133</v>
      </c>
      <c r="F414" s="86" t="s">
        <v>112</v>
      </c>
      <c r="G414" s="86">
        <v>29</v>
      </c>
      <c r="H414" s="86">
        <v>520</v>
      </c>
      <c r="I414" s="86">
        <v>770</v>
      </c>
      <c r="J414" s="87">
        <v>15080</v>
      </c>
      <c r="K414" s="87">
        <v>22330</v>
      </c>
      <c r="L414" s="87">
        <v>7250</v>
      </c>
      <c r="M414" s="87" t="s">
        <v>116</v>
      </c>
    </row>
    <row r="415" spans="1:13" ht="15.6" thickTop="1" thickBot="1" x14ac:dyDescent="0.35">
      <c r="A415" s="85">
        <v>45615</v>
      </c>
      <c r="B415" s="86" t="s">
        <v>303</v>
      </c>
      <c r="C415" s="86" t="s">
        <v>139</v>
      </c>
      <c r="D415" s="86" t="s">
        <v>154</v>
      </c>
      <c r="E415" s="86" t="s">
        <v>133</v>
      </c>
      <c r="F415" s="86" t="s">
        <v>112</v>
      </c>
      <c r="G415" s="86">
        <v>21</v>
      </c>
      <c r="H415" s="86">
        <v>547</v>
      </c>
      <c r="I415" s="86">
        <v>784</v>
      </c>
      <c r="J415" s="87">
        <v>11487</v>
      </c>
      <c r="K415" s="87">
        <v>16464</v>
      </c>
      <c r="L415" s="87">
        <v>4977</v>
      </c>
      <c r="M415" s="87" t="s">
        <v>116</v>
      </c>
    </row>
    <row r="416" spans="1:13" ht="15.6" thickTop="1" thickBot="1" x14ac:dyDescent="0.35">
      <c r="A416" s="85">
        <v>45615</v>
      </c>
      <c r="B416" s="86" t="s">
        <v>303</v>
      </c>
      <c r="C416" s="86" t="s">
        <v>139</v>
      </c>
      <c r="D416" s="86" t="s">
        <v>154</v>
      </c>
      <c r="E416" s="86" t="s">
        <v>133</v>
      </c>
      <c r="F416" s="86" t="s">
        <v>112</v>
      </c>
      <c r="G416" s="86">
        <v>23</v>
      </c>
      <c r="H416" s="86">
        <v>747</v>
      </c>
      <c r="I416" s="86">
        <v>1340</v>
      </c>
      <c r="J416" s="87">
        <v>17181</v>
      </c>
      <c r="K416" s="87">
        <v>30820</v>
      </c>
      <c r="L416" s="87">
        <v>13639</v>
      </c>
      <c r="M416" s="87" t="s">
        <v>116</v>
      </c>
    </row>
    <row r="417" spans="1:13" ht="15.6" thickTop="1" thickBot="1" x14ac:dyDescent="0.35">
      <c r="A417" s="85">
        <v>45423</v>
      </c>
      <c r="B417" s="86" t="s">
        <v>255</v>
      </c>
      <c r="C417" s="86" t="s">
        <v>139</v>
      </c>
      <c r="D417" s="86" t="s">
        <v>205</v>
      </c>
      <c r="E417" s="86" t="s">
        <v>161</v>
      </c>
      <c r="F417" s="86" t="s">
        <v>112</v>
      </c>
      <c r="G417" s="86">
        <v>25</v>
      </c>
      <c r="H417" s="86">
        <v>982</v>
      </c>
      <c r="I417" s="86">
        <v>1389</v>
      </c>
      <c r="J417" s="87">
        <v>24550</v>
      </c>
      <c r="K417" s="87">
        <v>34725</v>
      </c>
      <c r="L417" s="87">
        <v>10175</v>
      </c>
      <c r="M417" s="87" t="s">
        <v>116</v>
      </c>
    </row>
    <row r="418" spans="1:13" ht="15.6" thickTop="1" thickBot="1" x14ac:dyDescent="0.35">
      <c r="A418" s="85">
        <v>45423</v>
      </c>
      <c r="B418" s="86" t="s">
        <v>255</v>
      </c>
      <c r="C418" s="86" t="s">
        <v>139</v>
      </c>
      <c r="D418" s="86" t="s">
        <v>205</v>
      </c>
      <c r="E418" s="86" t="s">
        <v>161</v>
      </c>
      <c r="F418" s="86" t="s">
        <v>112</v>
      </c>
      <c r="G418" s="86">
        <v>22</v>
      </c>
      <c r="H418" s="86">
        <v>866</v>
      </c>
      <c r="I418" s="86">
        <v>1453</v>
      </c>
      <c r="J418" s="87">
        <v>19052</v>
      </c>
      <c r="K418" s="87">
        <v>31966</v>
      </c>
      <c r="L418" s="87">
        <v>12914</v>
      </c>
      <c r="M418" s="87" t="s">
        <v>116</v>
      </c>
    </row>
    <row r="419" spans="1:13" ht="15.6" thickTop="1" thickBot="1" x14ac:dyDescent="0.35">
      <c r="A419" s="85">
        <v>45423</v>
      </c>
      <c r="B419" s="86" t="s">
        <v>255</v>
      </c>
      <c r="C419" s="86" t="s">
        <v>139</v>
      </c>
      <c r="D419" s="86" t="s">
        <v>205</v>
      </c>
      <c r="E419" s="86" t="s">
        <v>161</v>
      </c>
      <c r="F419" s="86" t="s">
        <v>112</v>
      </c>
      <c r="G419" s="86">
        <v>25</v>
      </c>
      <c r="H419" s="86">
        <v>517</v>
      </c>
      <c r="I419" s="86">
        <v>939</v>
      </c>
      <c r="J419" s="87">
        <v>12925</v>
      </c>
      <c r="K419" s="87">
        <v>23475</v>
      </c>
      <c r="L419" s="87">
        <v>10550</v>
      </c>
      <c r="M419" s="87" t="s">
        <v>116</v>
      </c>
    </row>
    <row r="420" spans="1:13" ht="15.6" thickTop="1" thickBot="1" x14ac:dyDescent="0.35">
      <c r="A420" s="85">
        <v>45489</v>
      </c>
      <c r="B420" s="86" t="s">
        <v>270</v>
      </c>
      <c r="C420" s="86" t="s">
        <v>139</v>
      </c>
      <c r="D420" s="86" t="s">
        <v>205</v>
      </c>
      <c r="E420" s="86" t="s">
        <v>125</v>
      </c>
      <c r="F420" s="86" t="s">
        <v>112</v>
      </c>
      <c r="G420" s="86">
        <v>24</v>
      </c>
      <c r="H420" s="86">
        <v>978</v>
      </c>
      <c r="I420" s="86">
        <v>773</v>
      </c>
      <c r="J420" s="87">
        <v>23472</v>
      </c>
      <c r="K420" s="87">
        <v>18552</v>
      </c>
      <c r="L420" s="87">
        <v>-4920</v>
      </c>
      <c r="M420" s="87" t="s">
        <v>113</v>
      </c>
    </row>
    <row r="421" spans="1:13" ht="15.6" thickTop="1" thickBot="1" x14ac:dyDescent="0.35">
      <c r="A421" s="85">
        <v>45489</v>
      </c>
      <c r="B421" s="86" t="s">
        <v>270</v>
      </c>
      <c r="C421" s="86" t="s">
        <v>139</v>
      </c>
      <c r="D421" s="86" t="s">
        <v>205</v>
      </c>
      <c r="E421" s="86" t="s">
        <v>125</v>
      </c>
      <c r="F421" s="86" t="s">
        <v>112</v>
      </c>
      <c r="G421" s="86">
        <v>27</v>
      </c>
      <c r="H421" s="86">
        <v>605</v>
      </c>
      <c r="I421" s="86">
        <v>826</v>
      </c>
      <c r="J421" s="87">
        <v>16335</v>
      </c>
      <c r="K421" s="87">
        <v>22302</v>
      </c>
      <c r="L421" s="87">
        <v>5967</v>
      </c>
      <c r="M421" s="87" t="s">
        <v>116</v>
      </c>
    </row>
    <row r="422" spans="1:13" ht="15.6" thickTop="1" thickBot="1" x14ac:dyDescent="0.35">
      <c r="A422" s="85">
        <v>45489</v>
      </c>
      <c r="B422" s="86" t="s">
        <v>270</v>
      </c>
      <c r="C422" s="86" t="s">
        <v>139</v>
      </c>
      <c r="D422" s="86" t="s">
        <v>205</v>
      </c>
      <c r="E422" s="86" t="s">
        <v>125</v>
      </c>
      <c r="F422" s="86" t="s">
        <v>112</v>
      </c>
      <c r="G422" s="86">
        <v>23</v>
      </c>
      <c r="H422" s="86">
        <v>641</v>
      </c>
      <c r="I422" s="86">
        <v>1445</v>
      </c>
      <c r="J422" s="87">
        <v>14743</v>
      </c>
      <c r="K422" s="87">
        <v>33235</v>
      </c>
      <c r="L422" s="87">
        <v>18492</v>
      </c>
      <c r="M422" s="87" t="s">
        <v>116</v>
      </c>
    </row>
    <row r="423" spans="1:13" ht="15.6" thickTop="1" thickBot="1" x14ac:dyDescent="0.35">
      <c r="A423" s="85">
        <v>45518</v>
      </c>
      <c r="B423" s="86" t="s">
        <v>279</v>
      </c>
      <c r="C423" s="86" t="s">
        <v>139</v>
      </c>
      <c r="D423" s="86" t="s">
        <v>205</v>
      </c>
      <c r="E423" s="86" t="s">
        <v>142</v>
      </c>
      <c r="F423" s="86" t="s">
        <v>123</v>
      </c>
      <c r="G423" s="86">
        <v>27</v>
      </c>
      <c r="H423" s="86">
        <v>611</v>
      </c>
      <c r="I423" s="86">
        <v>1309</v>
      </c>
      <c r="J423" s="87">
        <v>16497</v>
      </c>
      <c r="K423" s="87">
        <v>35343</v>
      </c>
      <c r="L423" s="87">
        <v>18846</v>
      </c>
      <c r="M423" s="87" t="s">
        <v>116</v>
      </c>
    </row>
    <row r="424" spans="1:13" ht="15.6" thickTop="1" thickBot="1" x14ac:dyDescent="0.35">
      <c r="A424" s="85">
        <v>45518</v>
      </c>
      <c r="B424" s="86" t="s">
        <v>279</v>
      </c>
      <c r="C424" s="86" t="s">
        <v>139</v>
      </c>
      <c r="D424" s="86" t="s">
        <v>205</v>
      </c>
      <c r="E424" s="86" t="s">
        <v>142</v>
      </c>
      <c r="F424" s="86" t="s">
        <v>123</v>
      </c>
      <c r="G424" s="86">
        <v>24</v>
      </c>
      <c r="H424" s="86">
        <v>942</v>
      </c>
      <c r="I424" s="86">
        <v>1313</v>
      </c>
      <c r="J424" s="87">
        <v>22608</v>
      </c>
      <c r="K424" s="87">
        <v>31512</v>
      </c>
      <c r="L424" s="87">
        <v>8904</v>
      </c>
      <c r="M424" s="87" t="s">
        <v>116</v>
      </c>
    </row>
    <row r="425" spans="1:13" ht="15.6" thickTop="1" thickBot="1" x14ac:dyDescent="0.35">
      <c r="A425" s="85">
        <v>45518</v>
      </c>
      <c r="B425" s="86" t="s">
        <v>279</v>
      </c>
      <c r="C425" s="86" t="s">
        <v>139</v>
      </c>
      <c r="D425" s="86" t="s">
        <v>205</v>
      </c>
      <c r="E425" s="86" t="s">
        <v>142</v>
      </c>
      <c r="F425" s="86" t="s">
        <v>123</v>
      </c>
      <c r="G425" s="86">
        <v>23</v>
      </c>
      <c r="H425" s="86">
        <v>694</v>
      </c>
      <c r="I425" s="86">
        <v>1309</v>
      </c>
      <c r="J425" s="87">
        <v>15962</v>
      </c>
      <c r="K425" s="87">
        <v>30107</v>
      </c>
      <c r="L425" s="87">
        <v>14145</v>
      </c>
      <c r="M425" s="87" t="s">
        <v>116</v>
      </c>
    </row>
    <row r="426" spans="1:13" ht="15.6" thickTop="1" thickBot="1" x14ac:dyDescent="0.35">
      <c r="A426" s="85">
        <v>45385</v>
      </c>
      <c r="B426" s="86" t="s">
        <v>221</v>
      </c>
      <c r="C426" s="86" t="s">
        <v>139</v>
      </c>
      <c r="D426" s="86" t="s">
        <v>220</v>
      </c>
      <c r="E426" s="86" t="s">
        <v>120</v>
      </c>
      <c r="F426" s="86" t="s">
        <v>123</v>
      </c>
      <c r="G426" s="86">
        <v>23</v>
      </c>
      <c r="H426" s="86">
        <v>753</v>
      </c>
      <c r="I426" s="86">
        <v>987</v>
      </c>
      <c r="J426" s="87">
        <v>17319</v>
      </c>
      <c r="K426" s="87">
        <v>22701</v>
      </c>
      <c r="L426" s="87">
        <v>5382</v>
      </c>
      <c r="M426" s="87" t="s">
        <v>116</v>
      </c>
    </row>
    <row r="427" spans="1:13" ht="15.6" thickTop="1" thickBot="1" x14ac:dyDescent="0.35">
      <c r="A427" s="85">
        <v>45385</v>
      </c>
      <c r="B427" s="86" t="s">
        <v>221</v>
      </c>
      <c r="C427" s="86" t="s">
        <v>139</v>
      </c>
      <c r="D427" s="86" t="s">
        <v>220</v>
      </c>
      <c r="E427" s="86" t="s">
        <v>120</v>
      </c>
      <c r="F427" s="86" t="s">
        <v>123</v>
      </c>
      <c r="G427" s="86">
        <v>20</v>
      </c>
      <c r="H427" s="86">
        <v>940</v>
      </c>
      <c r="I427" s="86">
        <v>1259</v>
      </c>
      <c r="J427" s="87">
        <v>18800</v>
      </c>
      <c r="K427" s="87">
        <v>25180</v>
      </c>
      <c r="L427" s="87">
        <v>6380</v>
      </c>
      <c r="M427" s="87" t="s">
        <v>116</v>
      </c>
    </row>
    <row r="428" spans="1:13" ht="15.6" thickTop="1" thickBot="1" x14ac:dyDescent="0.35">
      <c r="A428" s="85">
        <v>45385</v>
      </c>
      <c r="B428" s="86" t="s">
        <v>221</v>
      </c>
      <c r="C428" s="86" t="s">
        <v>139</v>
      </c>
      <c r="D428" s="86" t="s">
        <v>220</v>
      </c>
      <c r="E428" s="86" t="s">
        <v>120</v>
      </c>
      <c r="F428" s="86" t="s">
        <v>123</v>
      </c>
      <c r="G428" s="86">
        <v>25</v>
      </c>
      <c r="H428" s="86">
        <v>980</v>
      </c>
      <c r="I428" s="86">
        <v>926</v>
      </c>
      <c r="J428" s="87">
        <v>24500</v>
      </c>
      <c r="K428" s="87">
        <v>23150</v>
      </c>
      <c r="L428" s="87">
        <v>-1350</v>
      </c>
      <c r="M428" s="87" t="s">
        <v>113</v>
      </c>
    </row>
    <row r="429" spans="1:13" ht="15.6" thickTop="1" thickBot="1" x14ac:dyDescent="0.35">
      <c r="A429" s="85">
        <v>45610</v>
      </c>
      <c r="B429" s="86" t="s">
        <v>257</v>
      </c>
      <c r="C429" s="86" t="s">
        <v>139</v>
      </c>
      <c r="D429" s="86" t="s">
        <v>154</v>
      </c>
      <c r="E429" s="86" t="s">
        <v>168</v>
      </c>
      <c r="F429" s="86" t="s">
        <v>123</v>
      </c>
      <c r="G429" s="86">
        <v>20</v>
      </c>
      <c r="H429" s="86">
        <v>773</v>
      </c>
      <c r="I429" s="86">
        <v>823</v>
      </c>
      <c r="J429" s="87">
        <v>15460</v>
      </c>
      <c r="K429" s="87">
        <v>16460</v>
      </c>
      <c r="L429" s="87">
        <v>1000</v>
      </c>
      <c r="M429" s="87" t="s">
        <v>116</v>
      </c>
    </row>
    <row r="430" spans="1:13" ht="15.6" thickTop="1" thickBot="1" x14ac:dyDescent="0.35">
      <c r="A430" s="85">
        <v>45626</v>
      </c>
      <c r="B430" s="86" t="s">
        <v>273</v>
      </c>
      <c r="C430" s="86" t="s">
        <v>139</v>
      </c>
      <c r="D430" s="86" t="s">
        <v>205</v>
      </c>
      <c r="E430" s="86" t="s">
        <v>133</v>
      </c>
      <c r="F430" s="86" t="s">
        <v>112</v>
      </c>
      <c r="G430" s="86">
        <v>28</v>
      </c>
      <c r="H430" s="86">
        <v>866</v>
      </c>
      <c r="I430" s="86">
        <v>1102</v>
      </c>
      <c r="J430" s="87">
        <v>24248</v>
      </c>
      <c r="K430" s="87">
        <v>30856</v>
      </c>
      <c r="L430" s="87">
        <v>6608</v>
      </c>
      <c r="M430" s="87" t="s">
        <v>116</v>
      </c>
    </row>
    <row r="431" spans="1:13" ht="15.6" thickTop="1" thickBot="1" x14ac:dyDescent="0.35">
      <c r="A431" s="85">
        <v>45535</v>
      </c>
      <c r="B431" s="86" t="s">
        <v>211</v>
      </c>
      <c r="C431" s="86" t="s">
        <v>127</v>
      </c>
      <c r="D431" s="86" t="s">
        <v>186</v>
      </c>
      <c r="E431" s="86" t="s">
        <v>115</v>
      </c>
      <c r="F431" s="86" t="s">
        <v>123</v>
      </c>
      <c r="G431" s="86">
        <v>89</v>
      </c>
      <c r="H431" s="86">
        <v>910</v>
      </c>
      <c r="I431" s="86">
        <v>1261</v>
      </c>
      <c r="J431" s="87">
        <v>80990</v>
      </c>
      <c r="K431" s="87">
        <v>112229</v>
      </c>
      <c r="L431" s="87">
        <v>31239</v>
      </c>
      <c r="M431" s="87" t="s">
        <v>116</v>
      </c>
    </row>
    <row r="432" spans="1:13" ht="15.6" thickTop="1" thickBot="1" x14ac:dyDescent="0.35">
      <c r="A432" s="85">
        <v>45535</v>
      </c>
      <c r="B432" s="86" t="s">
        <v>211</v>
      </c>
      <c r="C432" s="86" t="s">
        <v>127</v>
      </c>
      <c r="D432" s="86" t="s">
        <v>186</v>
      </c>
      <c r="E432" s="86" t="s">
        <v>115</v>
      </c>
      <c r="F432" s="86" t="s">
        <v>123</v>
      </c>
      <c r="G432" s="86">
        <v>64</v>
      </c>
      <c r="H432" s="86">
        <v>580</v>
      </c>
      <c r="I432" s="86">
        <v>1164</v>
      </c>
      <c r="J432" s="87">
        <v>37120</v>
      </c>
      <c r="K432" s="87">
        <v>74496</v>
      </c>
      <c r="L432" s="87">
        <v>37376</v>
      </c>
      <c r="M432" s="87" t="s">
        <v>116</v>
      </c>
    </row>
    <row r="433" spans="1:13" ht="15.6" thickTop="1" thickBot="1" x14ac:dyDescent="0.35">
      <c r="A433" s="85">
        <v>45426</v>
      </c>
      <c r="B433" s="86" t="s">
        <v>259</v>
      </c>
      <c r="C433" s="86" t="s">
        <v>139</v>
      </c>
      <c r="D433" s="86" t="s">
        <v>205</v>
      </c>
      <c r="E433" s="86" t="s">
        <v>155</v>
      </c>
      <c r="F433" s="86" t="s">
        <v>112</v>
      </c>
      <c r="G433" s="86">
        <v>26</v>
      </c>
      <c r="H433" s="86">
        <v>630</v>
      </c>
      <c r="I433" s="86">
        <v>767</v>
      </c>
      <c r="J433" s="87">
        <v>16380</v>
      </c>
      <c r="K433" s="87">
        <v>19942</v>
      </c>
      <c r="L433" s="87">
        <v>3562</v>
      </c>
      <c r="M433" s="87" t="s">
        <v>116</v>
      </c>
    </row>
    <row r="434" spans="1:13" ht="15.6" thickTop="1" thickBot="1" x14ac:dyDescent="0.35">
      <c r="A434" s="85">
        <v>45426</v>
      </c>
      <c r="B434" s="86" t="s">
        <v>259</v>
      </c>
      <c r="C434" s="86" t="s">
        <v>139</v>
      </c>
      <c r="D434" s="86" t="s">
        <v>205</v>
      </c>
      <c r="E434" s="86" t="s">
        <v>155</v>
      </c>
      <c r="F434" s="86" t="s">
        <v>112</v>
      </c>
      <c r="G434" s="86">
        <v>24</v>
      </c>
      <c r="H434" s="86">
        <v>653</v>
      </c>
      <c r="I434" s="86">
        <v>1293</v>
      </c>
      <c r="J434" s="87">
        <v>15672</v>
      </c>
      <c r="K434" s="87">
        <v>31032</v>
      </c>
      <c r="L434" s="87">
        <v>15360</v>
      </c>
      <c r="M434" s="87" t="s">
        <v>116</v>
      </c>
    </row>
    <row r="435" spans="1:13" ht="15.6" thickTop="1" thickBot="1" x14ac:dyDescent="0.35">
      <c r="A435" s="85">
        <v>45426</v>
      </c>
      <c r="B435" s="86" t="s">
        <v>259</v>
      </c>
      <c r="C435" s="86" t="s">
        <v>139</v>
      </c>
      <c r="D435" s="86" t="s">
        <v>205</v>
      </c>
      <c r="E435" s="86" t="s">
        <v>155</v>
      </c>
      <c r="F435" s="86" t="s">
        <v>112</v>
      </c>
      <c r="G435" s="86">
        <v>21</v>
      </c>
      <c r="H435" s="86">
        <v>967</v>
      </c>
      <c r="I435" s="86">
        <v>888</v>
      </c>
      <c r="J435" s="87">
        <v>20307</v>
      </c>
      <c r="K435" s="87">
        <v>18648</v>
      </c>
      <c r="L435" s="87">
        <v>-1659</v>
      </c>
      <c r="M435" s="87" t="s">
        <v>113</v>
      </c>
    </row>
    <row r="436" spans="1:13" ht="15.6" thickTop="1" thickBot="1" x14ac:dyDescent="0.35">
      <c r="A436" s="85">
        <v>45476</v>
      </c>
      <c r="B436" s="91" t="s">
        <v>135</v>
      </c>
      <c r="C436" s="91" t="s">
        <v>109</v>
      </c>
      <c r="D436" s="80" t="s">
        <v>131</v>
      </c>
      <c r="E436" s="86" t="s">
        <v>122</v>
      </c>
      <c r="F436" s="86" t="s">
        <v>112</v>
      </c>
      <c r="G436" s="86">
        <v>12</v>
      </c>
      <c r="H436" s="86">
        <v>980</v>
      </c>
      <c r="I436" s="86">
        <v>1462</v>
      </c>
      <c r="J436" s="87">
        <v>11760</v>
      </c>
      <c r="K436" s="87">
        <v>17544</v>
      </c>
      <c r="L436" s="87">
        <v>5784</v>
      </c>
      <c r="M436" s="87" t="s">
        <v>116</v>
      </c>
    </row>
    <row r="437" spans="1:13" ht="15.6" thickTop="1" thickBot="1" x14ac:dyDescent="0.35">
      <c r="A437" s="85">
        <v>45476</v>
      </c>
      <c r="B437" s="86" t="s">
        <v>135</v>
      </c>
      <c r="C437" s="86" t="s">
        <v>109</v>
      </c>
      <c r="D437" s="86" t="s">
        <v>131</v>
      </c>
      <c r="E437" s="86" t="s">
        <v>122</v>
      </c>
      <c r="F437" s="86" t="s">
        <v>112</v>
      </c>
      <c r="G437" s="86">
        <v>15</v>
      </c>
      <c r="H437" s="86">
        <v>941</v>
      </c>
      <c r="I437" s="86">
        <v>913</v>
      </c>
      <c r="J437" s="87">
        <v>14115</v>
      </c>
      <c r="K437" s="87">
        <v>13695</v>
      </c>
      <c r="L437" s="87">
        <v>-420</v>
      </c>
      <c r="M437" s="87" t="s">
        <v>113</v>
      </c>
    </row>
    <row r="438" spans="1:13" ht="15.6" thickTop="1" thickBot="1" x14ac:dyDescent="0.35">
      <c r="A438" s="85">
        <v>45476</v>
      </c>
      <c r="B438" s="86" t="s">
        <v>135</v>
      </c>
      <c r="C438" s="86" t="s">
        <v>109</v>
      </c>
      <c r="D438" s="86" t="s">
        <v>131</v>
      </c>
      <c r="E438" s="86" t="s">
        <v>122</v>
      </c>
      <c r="F438" s="86" t="s">
        <v>112</v>
      </c>
      <c r="G438" s="86">
        <v>16</v>
      </c>
      <c r="H438" s="86">
        <v>693</v>
      </c>
      <c r="I438" s="86">
        <v>1042</v>
      </c>
      <c r="J438" s="87">
        <v>11088</v>
      </c>
      <c r="K438" s="87">
        <v>16672</v>
      </c>
      <c r="L438" s="87">
        <v>5584</v>
      </c>
      <c r="M438" s="87" t="s">
        <v>116</v>
      </c>
    </row>
    <row r="439" spans="1:13" ht="15.6" thickTop="1" thickBot="1" x14ac:dyDescent="0.35">
      <c r="A439" s="85">
        <v>45540</v>
      </c>
      <c r="B439" s="86" t="s">
        <v>212</v>
      </c>
      <c r="C439" s="86" t="s">
        <v>127</v>
      </c>
      <c r="D439" s="86" t="s">
        <v>207</v>
      </c>
      <c r="E439" s="86" t="s">
        <v>125</v>
      </c>
      <c r="F439" s="86" t="s">
        <v>112</v>
      </c>
      <c r="G439" s="86">
        <v>59</v>
      </c>
      <c r="H439" s="86">
        <v>764</v>
      </c>
      <c r="I439" s="86">
        <v>1365</v>
      </c>
      <c r="J439" s="87">
        <v>45076</v>
      </c>
      <c r="K439" s="87">
        <v>80535</v>
      </c>
      <c r="L439" s="87">
        <v>35459</v>
      </c>
      <c r="M439" s="87" t="s">
        <v>116</v>
      </c>
    </row>
    <row r="440" spans="1:13" ht="15.6" thickTop="1" thickBot="1" x14ac:dyDescent="0.35">
      <c r="A440" s="85">
        <v>45540</v>
      </c>
      <c r="B440" s="86" t="s">
        <v>212</v>
      </c>
      <c r="C440" s="86" t="s">
        <v>127</v>
      </c>
      <c r="D440" s="86" t="s">
        <v>207</v>
      </c>
      <c r="E440" s="86" t="s">
        <v>125</v>
      </c>
      <c r="F440" s="86" t="s">
        <v>112</v>
      </c>
      <c r="G440" s="86">
        <v>52</v>
      </c>
      <c r="H440" s="86">
        <v>893</v>
      </c>
      <c r="I440" s="86">
        <v>1055</v>
      </c>
      <c r="J440" s="87">
        <v>46436</v>
      </c>
      <c r="K440" s="87">
        <v>54860</v>
      </c>
      <c r="L440" s="87">
        <v>8424</v>
      </c>
      <c r="M440" s="87" t="s">
        <v>116</v>
      </c>
    </row>
    <row r="441" spans="1:13" ht="15.6" thickTop="1" thickBot="1" x14ac:dyDescent="0.35">
      <c r="A441" s="85">
        <v>45415</v>
      </c>
      <c r="B441" s="86" t="s">
        <v>244</v>
      </c>
      <c r="C441" s="86" t="s">
        <v>139</v>
      </c>
      <c r="D441" s="86" t="s">
        <v>154</v>
      </c>
      <c r="E441" s="86" t="s">
        <v>115</v>
      </c>
      <c r="F441" s="86" t="s">
        <v>123</v>
      </c>
      <c r="G441" s="86">
        <v>24</v>
      </c>
      <c r="H441" s="86">
        <v>584</v>
      </c>
      <c r="I441" s="86">
        <v>1158</v>
      </c>
      <c r="J441" s="87">
        <v>14016</v>
      </c>
      <c r="K441" s="87">
        <v>27792</v>
      </c>
      <c r="L441" s="87">
        <v>13776</v>
      </c>
      <c r="M441" s="87" t="s">
        <v>116</v>
      </c>
    </row>
    <row r="442" spans="1:13" ht="15.6" thickTop="1" thickBot="1" x14ac:dyDescent="0.35">
      <c r="A442" s="85">
        <v>45415</v>
      </c>
      <c r="B442" s="86" t="s">
        <v>244</v>
      </c>
      <c r="C442" s="86" t="s">
        <v>139</v>
      </c>
      <c r="D442" s="86" t="s">
        <v>154</v>
      </c>
      <c r="E442" s="86" t="s">
        <v>115</v>
      </c>
      <c r="F442" s="86" t="s">
        <v>123</v>
      </c>
      <c r="G442" s="86">
        <v>23</v>
      </c>
      <c r="H442" s="86">
        <v>667</v>
      </c>
      <c r="I442" s="86">
        <v>962</v>
      </c>
      <c r="J442" s="87">
        <v>15341</v>
      </c>
      <c r="K442" s="87">
        <v>22126</v>
      </c>
      <c r="L442" s="87">
        <v>6785</v>
      </c>
      <c r="M442" s="87" t="s">
        <v>116</v>
      </c>
    </row>
    <row r="443" spans="1:13" ht="15.6" thickTop="1" thickBot="1" x14ac:dyDescent="0.35">
      <c r="A443" s="85">
        <v>45415</v>
      </c>
      <c r="B443" s="86" t="s">
        <v>244</v>
      </c>
      <c r="C443" s="86" t="s">
        <v>139</v>
      </c>
      <c r="D443" s="86" t="s">
        <v>154</v>
      </c>
      <c r="E443" s="86" t="s">
        <v>115</v>
      </c>
      <c r="F443" s="86" t="s">
        <v>123</v>
      </c>
      <c r="G443" s="86">
        <v>20</v>
      </c>
      <c r="H443" s="86">
        <v>812</v>
      </c>
      <c r="I443" s="86">
        <v>1248</v>
      </c>
      <c r="J443" s="87">
        <v>16240</v>
      </c>
      <c r="K443" s="87">
        <v>24960</v>
      </c>
      <c r="L443" s="87">
        <v>8720</v>
      </c>
      <c r="M443" s="87" t="s">
        <v>116</v>
      </c>
    </row>
    <row r="444" spans="1:13" ht="15.6" thickTop="1" thickBot="1" x14ac:dyDescent="0.35">
      <c r="A444" s="85">
        <v>45392</v>
      </c>
      <c r="B444" s="86" t="s">
        <v>225</v>
      </c>
      <c r="C444" s="86" t="s">
        <v>139</v>
      </c>
      <c r="D444" s="86" t="s">
        <v>140</v>
      </c>
      <c r="E444" s="86" t="s">
        <v>129</v>
      </c>
      <c r="F444" s="86" t="s">
        <v>112</v>
      </c>
      <c r="G444" s="86">
        <v>24</v>
      </c>
      <c r="H444" s="86">
        <v>903</v>
      </c>
      <c r="I444" s="86">
        <v>1338</v>
      </c>
      <c r="J444" s="87">
        <v>21672</v>
      </c>
      <c r="K444" s="87">
        <v>32112</v>
      </c>
      <c r="L444" s="87">
        <v>10440</v>
      </c>
      <c r="M444" s="87" t="s">
        <v>116</v>
      </c>
    </row>
    <row r="445" spans="1:13" ht="15.6" thickTop="1" thickBot="1" x14ac:dyDescent="0.35">
      <c r="A445" s="85">
        <v>45392</v>
      </c>
      <c r="B445" s="86" t="s">
        <v>225</v>
      </c>
      <c r="C445" s="86" t="s">
        <v>139</v>
      </c>
      <c r="D445" s="86" t="s">
        <v>140</v>
      </c>
      <c r="E445" s="86" t="s">
        <v>129</v>
      </c>
      <c r="F445" s="86" t="s">
        <v>112</v>
      </c>
      <c r="G445" s="86">
        <v>28</v>
      </c>
      <c r="H445" s="86">
        <v>937</v>
      </c>
      <c r="I445" s="86">
        <v>872</v>
      </c>
      <c r="J445" s="87">
        <v>26236</v>
      </c>
      <c r="K445" s="87">
        <v>24416</v>
      </c>
      <c r="L445" s="87">
        <v>-1820</v>
      </c>
      <c r="M445" s="87" t="s">
        <v>113</v>
      </c>
    </row>
    <row r="446" spans="1:13" ht="15.6" thickTop="1" thickBot="1" x14ac:dyDescent="0.35">
      <c r="A446" s="85">
        <v>45392</v>
      </c>
      <c r="B446" s="86" t="s">
        <v>225</v>
      </c>
      <c r="C446" s="86" t="s">
        <v>139</v>
      </c>
      <c r="D446" s="86" t="s">
        <v>140</v>
      </c>
      <c r="E446" s="86" t="s">
        <v>129</v>
      </c>
      <c r="F446" s="86" t="s">
        <v>112</v>
      </c>
      <c r="G446" s="86">
        <v>26</v>
      </c>
      <c r="H446" s="86">
        <v>808</v>
      </c>
      <c r="I446" s="86">
        <v>1135</v>
      </c>
      <c r="J446" s="87">
        <v>21008</v>
      </c>
      <c r="K446" s="87">
        <v>29510</v>
      </c>
      <c r="L446" s="87">
        <v>8502</v>
      </c>
      <c r="M446" s="87" t="s">
        <v>116</v>
      </c>
    </row>
    <row r="447" spans="1:13" ht="15.6" thickTop="1" thickBot="1" x14ac:dyDescent="0.35">
      <c r="A447" s="85">
        <v>45624</v>
      </c>
      <c r="B447" s="86" t="s">
        <v>314</v>
      </c>
      <c r="C447" s="86" t="s">
        <v>139</v>
      </c>
      <c r="D447" s="86" t="s">
        <v>205</v>
      </c>
      <c r="E447" s="86" t="s">
        <v>129</v>
      </c>
      <c r="F447" s="86" t="s">
        <v>112</v>
      </c>
      <c r="G447" s="86">
        <v>21</v>
      </c>
      <c r="H447" s="86">
        <v>751</v>
      </c>
      <c r="I447" s="86">
        <v>1498</v>
      </c>
      <c r="J447" s="87">
        <v>15771</v>
      </c>
      <c r="K447" s="87">
        <v>31458</v>
      </c>
      <c r="L447" s="87">
        <v>15687</v>
      </c>
      <c r="M447" s="87" t="s">
        <v>116</v>
      </c>
    </row>
    <row r="448" spans="1:13" ht="15.6" thickTop="1" thickBot="1" x14ac:dyDescent="0.35">
      <c r="A448" s="85">
        <v>45624</v>
      </c>
      <c r="B448" s="86" t="s">
        <v>314</v>
      </c>
      <c r="C448" s="86" t="s">
        <v>139</v>
      </c>
      <c r="D448" s="86" t="s">
        <v>205</v>
      </c>
      <c r="E448" s="86" t="s">
        <v>129</v>
      </c>
      <c r="F448" s="86" t="s">
        <v>112</v>
      </c>
      <c r="G448" s="86">
        <v>30</v>
      </c>
      <c r="H448" s="86">
        <v>591</v>
      </c>
      <c r="I448" s="86">
        <v>949</v>
      </c>
      <c r="J448" s="87">
        <v>17730</v>
      </c>
      <c r="K448" s="87">
        <v>28470</v>
      </c>
      <c r="L448" s="87">
        <v>10740</v>
      </c>
      <c r="M448" s="87" t="s">
        <v>116</v>
      </c>
    </row>
    <row r="449" spans="1:13" ht="15.6" thickTop="1" thickBot="1" x14ac:dyDescent="0.35">
      <c r="A449" s="85">
        <v>45624</v>
      </c>
      <c r="B449" s="86" t="s">
        <v>314</v>
      </c>
      <c r="C449" s="86" t="s">
        <v>139</v>
      </c>
      <c r="D449" s="86" t="s">
        <v>205</v>
      </c>
      <c r="E449" s="86" t="s">
        <v>129</v>
      </c>
      <c r="F449" s="86" t="s">
        <v>112</v>
      </c>
      <c r="G449" s="86">
        <v>27</v>
      </c>
      <c r="H449" s="86">
        <v>826</v>
      </c>
      <c r="I449" s="86">
        <v>917</v>
      </c>
      <c r="J449" s="87">
        <v>22302</v>
      </c>
      <c r="K449" s="87">
        <v>24759</v>
      </c>
      <c r="L449" s="87">
        <v>2457</v>
      </c>
      <c r="M449" s="87" t="s">
        <v>116</v>
      </c>
    </row>
    <row r="450" spans="1:13" ht="15.6" thickTop="1" thickBot="1" x14ac:dyDescent="0.35">
      <c r="A450" s="85">
        <v>45646</v>
      </c>
      <c r="B450" s="86" t="s">
        <v>291</v>
      </c>
      <c r="C450" s="86" t="s">
        <v>127</v>
      </c>
      <c r="D450" s="86" t="s">
        <v>186</v>
      </c>
      <c r="E450" s="86" t="s">
        <v>133</v>
      </c>
      <c r="F450" s="86" t="s">
        <v>112</v>
      </c>
      <c r="G450" s="86">
        <v>60</v>
      </c>
      <c r="H450" s="86">
        <v>901</v>
      </c>
      <c r="I450" s="86">
        <v>1148</v>
      </c>
      <c r="J450" s="87">
        <v>54060</v>
      </c>
      <c r="K450" s="87">
        <v>68880</v>
      </c>
      <c r="L450" s="87">
        <v>14820</v>
      </c>
      <c r="M450" s="87" t="s">
        <v>116</v>
      </c>
    </row>
    <row r="451" spans="1:13" ht="15.6" thickTop="1" thickBot="1" x14ac:dyDescent="0.35">
      <c r="A451" s="85">
        <v>45692</v>
      </c>
      <c r="B451" s="86" t="s">
        <v>328</v>
      </c>
      <c r="C451" s="86" t="s">
        <v>139</v>
      </c>
      <c r="D451" s="86" t="s">
        <v>205</v>
      </c>
      <c r="E451" s="86" t="s">
        <v>111</v>
      </c>
      <c r="F451" s="86" t="s">
        <v>123</v>
      </c>
      <c r="G451" s="86">
        <v>21</v>
      </c>
      <c r="H451" s="86">
        <v>938</v>
      </c>
      <c r="I451" s="86">
        <v>1275</v>
      </c>
      <c r="J451" s="87">
        <v>19698</v>
      </c>
      <c r="K451" s="87">
        <v>26775</v>
      </c>
      <c r="L451" s="87">
        <v>7077</v>
      </c>
      <c r="M451" s="87" t="s">
        <v>116</v>
      </c>
    </row>
    <row r="452" spans="1:13" ht="15.6" thickTop="1" thickBot="1" x14ac:dyDescent="0.35">
      <c r="A452" s="85">
        <v>45692</v>
      </c>
      <c r="B452" s="86" t="s">
        <v>328</v>
      </c>
      <c r="C452" s="86" t="s">
        <v>139</v>
      </c>
      <c r="D452" s="86" t="s">
        <v>205</v>
      </c>
      <c r="E452" s="86" t="s">
        <v>111</v>
      </c>
      <c r="F452" s="86" t="s">
        <v>123</v>
      </c>
      <c r="G452" s="86">
        <v>22</v>
      </c>
      <c r="H452" s="86">
        <v>679</v>
      </c>
      <c r="I452" s="86">
        <v>1463</v>
      </c>
      <c r="J452" s="87">
        <v>14938</v>
      </c>
      <c r="K452" s="87">
        <v>32186</v>
      </c>
      <c r="L452" s="87">
        <v>17248</v>
      </c>
      <c r="M452" s="87" t="s">
        <v>116</v>
      </c>
    </row>
    <row r="453" spans="1:13" ht="15.6" thickTop="1" thickBot="1" x14ac:dyDescent="0.35">
      <c r="A453" s="85">
        <v>45635</v>
      </c>
      <c r="B453" s="86" t="s">
        <v>323</v>
      </c>
      <c r="C453" s="86" t="s">
        <v>139</v>
      </c>
      <c r="D453" s="86" t="s">
        <v>205</v>
      </c>
      <c r="E453" s="86" t="s">
        <v>242</v>
      </c>
      <c r="F453" s="86" t="s">
        <v>123</v>
      </c>
      <c r="G453" s="86">
        <v>20</v>
      </c>
      <c r="H453" s="86">
        <v>565</v>
      </c>
      <c r="I453" s="86">
        <v>943</v>
      </c>
      <c r="J453" s="87">
        <v>11300</v>
      </c>
      <c r="K453" s="87">
        <v>18860</v>
      </c>
      <c r="L453" s="87">
        <v>7560</v>
      </c>
      <c r="M453" s="87" t="s">
        <v>116</v>
      </c>
    </row>
    <row r="454" spans="1:13" ht="15.6" thickTop="1" thickBot="1" x14ac:dyDescent="0.35">
      <c r="A454" s="85">
        <v>45635</v>
      </c>
      <c r="B454" s="86" t="s">
        <v>323</v>
      </c>
      <c r="C454" s="86" t="s">
        <v>139</v>
      </c>
      <c r="D454" s="86" t="s">
        <v>205</v>
      </c>
      <c r="E454" s="86" t="s">
        <v>242</v>
      </c>
      <c r="F454" s="86" t="s">
        <v>123</v>
      </c>
      <c r="G454" s="86">
        <v>24</v>
      </c>
      <c r="H454" s="86">
        <v>787</v>
      </c>
      <c r="I454" s="86">
        <v>1122</v>
      </c>
      <c r="J454" s="87">
        <v>18888</v>
      </c>
      <c r="K454" s="87">
        <v>26928</v>
      </c>
      <c r="L454" s="87">
        <v>8040</v>
      </c>
      <c r="M454" s="87" t="s">
        <v>116</v>
      </c>
    </row>
    <row r="455" spans="1:13" ht="15.6" thickTop="1" thickBot="1" x14ac:dyDescent="0.35">
      <c r="A455" s="85">
        <v>45567</v>
      </c>
      <c r="B455" s="86" t="s">
        <v>176</v>
      </c>
      <c r="C455" s="86" t="s">
        <v>109</v>
      </c>
      <c r="D455" s="86" t="s">
        <v>110</v>
      </c>
      <c r="E455" s="86" t="s">
        <v>151</v>
      </c>
      <c r="F455" s="86" t="s">
        <v>112</v>
      </c>
      <c r="G455" s="86">
        <v>11</v>
      </c>
      <c r="H455" s="86">
        <v>858</v>
      </c>
      <c r="I455" s="86">
        <v>1080</v>
      </c>
      <c r="J455" s="87">
        <v>9438</v>
      </c>
      <c r="K455" s="87">
        <v>11880</v>
      </c>
      <c r="L455" s="87">
        <v>2442</v>
      </c>
      <c r="M455" s="87" t="s">
        <v>116</v>
      </c>
    </row>
    <row r="456" spans="1:13" ht="15.6" thickTop="1" thickBot="1" x14ac:dyDescent="0.35">
      <c r="A456" s="85">
        <v>45567</v>
      </c>
      <c r="B456" s="86" t="s">
        <v>176</v>
      </c>
      <c r="C456" s="86" t="s">
        <v>109</v>
      </c>
      <c r="D456" s="86" t="s">
        <v>110</v>
      </c>
      <c r="E456" s="86" t="s">
        <v>151</v>
      </c>
      <c r="F456" s="86" t="s">
        <v>112</v>
      </c>
      <c r="G456" s="86">
        <v>10</v>
      </c>
      <c r="H456" s="86">
        <v>757</v>
      </c>
      <c r="I456" s="86">
        <v>885</v>
      </c>
      <c r="J456" s="87">
        <v>7570</v>
      </c>
      <c r="K456" s="87">
        <v>8850</v>
      </c>
      <c r="L456" s="87">
        <v>1280</v>
      </c>
      <c r="M456" s="87" t="s">
        <v>116</v>
      </c>
    </row>
    <row r="457" spans="1:13" ht="15.6" thickTop="1" thickBot="1" x14ac:dyDescent="0.35">
      <c r="A457" s="85">
        <v>45567</v>
      </c>
      <c r="B457" s="86" t="s">
        <v>176</v>
      </c>
      <c r="C457" s="86" t="s">
        <v>109</v>
      </c>
      <c r="D457" s="86" t="s">
        <v>110</v>
      </c>
      <c r="E457" s="86" t="s">
        <v>151</v>
      </c>
      <c r="F457" s="86" t="s">
        <v>112</v>
      </c>
      <c r="G457" s="86">
        <v>11</v>
      </c>
      <c r="H457" s="86">
        <v>654</v>
      </c>
      <c r="I457" s="86">
        <v>767</v>
      </c>
      <c r="J457" s="87">
        <v>7194</v>
      </c>
      <c r="K457" s="87">
        <v>8437</v>
      </c>
      <c r="L457" s="87">
        <v>1243</v>
      </c>
      <c r="M457" s="87" t="s">
        <v>116</v>
      </c>
    </row>
    <row r="458" spans="1:13" ht="15.6" thickTop="1" thickBot="1" x14ac:dyDescent="0.35">
      <c r="A458" s="85">
        <v>45493</v>
      </c>
      <c r="B458" s="86" t="s">
        <v>275</v>
      </c>
      <c r="C458" s="86" t="s">
        <v>139</v>
      </c>
      <c r="D458" s="86" t="s">
        <v>205</v>
      </c>
      <c r="E458" s="86" t="s">
        <v>242</v>
      </c>
      <c r="F458" s="86" t="s">
        <v>112</v>
      </c>
      <c r="G458" s="86">
        <v>23</v>
      </c>
      <c r="H458" s="86">
        <v>969</v>
      </c>
      <c r="I458" s="86">
        <v>1075</v>
      </c>
      <c r="J458" s="87">
        <v>22287</v>
      </c>
      <c r="K458" s="87">
        <v>24725</v>
      </c>
      <c r="L458" s="87">
        <v>2438</v>
      </c>
      <c r="M458" s="87" t="s">
        <v>116</v>
      </c>
    </row>
    <row r="459" spans="1:13" ht="15.6" thickTop="1" thickBot="1" x14ac:dyDescent="0.35">
      <c r="A459" s="85">
        <v>45493</v>
      </c>
      <c r="B459" s="86" t="s">
        <v>275</v>
      </c>
      <c r="C459" s="86" t="s">
        <v>139</v>
      </c>
      <c r="D459" s="86" t="s">
        <v>205</v>
      </c>
      <c r="E459" s="86" t="s">
        <v>242</v>
      </c>
      <c r="F459" s="86" t="s">
        <v>112</v>
      </c>
      <c r="G459" s="86">
        <v>22</v>
      </c>
      <c r="H459" s="86">
        <v>779</v>
      </c>
      <c r="I459" s="86">
        <v>1301</v>
      </c>
      <c r="J459" s="87">
        <v>17138</v>
      </c>
      <c r="K459" s="87">
        <v>28622</v>
      </c>
      <c r="L459" s="87">
        <v>11484</v>
      </c>
      <c r="M459" s="87" t="s">
        <v>116</v>
      </c>
    </row>
    <row r="460" spans="1:13" ht="15.6" thickTop="1" thickBot="1" x14ac:dyDescent="0.35">
      <c r="A460" s="85">
        <v>45493</v>
      </c>
      <c r="B460" s="86" t="s">
        <v>275</v>
      </c>
      <c r="C460" s="86" t="s">
        <v>139</v>
      </c>
      <c r="D460" s="86" t="s">
        <v>205</v>
      </c>
      <c r="E460" s="86" t="s">
        <v>242</v>
      </c>
      <c r="F460" s="86" t="s">
        <v>112</v>
      </c>
      <c r="G460" s="86">
        <v>25</v>
      </c>
      <c r="H460" s="86">
        <v>839</v>
      </c>
      <c r="I460" s="86">
        <v>1233</v>
      </c>
      <c r="J460" s="87">
        <v>20975</v>
      </c>
      <c r="K460" s="87">
        <v>30825</v>
      </c>
      <c r="L460" s="87">
        <v>9850</v>
      </c>
      <c r="M460" s="87" t="s">
        <v>116</v>
      </c>
    </row>
    <row r="461" spans="1:13" ht="15.6" thickTop="1" thickBot="1" x14ac:dyDescent="0.35">
      <c r="A461" s="85">
        <v>45612</v>
      </c>
      <c r="B461" s="86" t="s">
        <v>301</v>
      </c>
      <c r="C461" s="86" t="s">
        <v>139</v>
      </c>
      <c r="D461" s="86" t="s">
        <v>154</v>
      </c>
      <c r="E461" s="86" t="s">
        <v>137</v>
      </c>
      <c r="F461" s="86" t="s">
        <v>123</v>
      </c>
      <c r="G461" s="86">
        <v>30</v>
      </c>
      <c r="H461" s="86">
        <v>712</v>
      </c>
      <c r="I461" s="86">
        <v>1311</v>
      </c>
      <c r="J461" s="87">
        <v>21360</v>
      </c>
      <c r="K461" s="87">
        <v>39330</v>
      </c>
      <c r="L461" s="87">
        <v>17970</v>
      </c>
      <c r="M461" s="87" t="s">
        <v>116</v>
      </c>
    </row>
    <row r="462" spans="1:13" ht="15.6" thickTop="1" thickBot="1" x14ac:dyDescent="0.35">
      <c r="A462" s="85">
        <v>45612</v>
      </c>
      <c r="B462" s="86" t="s">
        <v>301</v>
      </c>
      <c r="C462" s="86" t="s">
        <v>139</v>
      </c>
      <c r="D462" s="86" t="s">
        <v>154</v>
      </c>
      <c r="E462" s="86" t="s">
        <v>137</v>
      </c>
      <c r="F462" s="86" t="s">
        <v>123</v>
      </c>
      <c r="G462" s="86">
        <v>27</v>
      </c>
      <c r="H462" s="86">
        <v>951</v>
      </c>
      <c r="I462" s="86">
        <v>1255</v>
      </c>
      <c r="J462" s="87">
        <v>25677</v>
      </c>
      <c r="K462" s="87">
        <v>33885</v>
      </c>
      <c r="L462" s="87">
        <v>8208</v>
      </c>
      <c r="M462" s="87" t="s">
        <v>116</v>
      </c>
    </row>
    <row r="463" spans="1:13" ht="15.6" thickTop="1" thickBot="1" x14ac:dyDescent="0.35">
      <c r="A463" s="85">
        <v>45612</v>
      </c>
      <c r="B463" s="86" t="s">
        <v>301</v>
      </c>
      <c r="C463" s="86" t="s">
        <v>139</v>
      </c>
      <c r="D463" s="86" t="s">
        <v>154</v>
      </c>
      <c r="E463" s="86" t="s">
        <v>137</v>
      </c>
      <c r="F463" s="86" t="s">
        <v>123</v>
      </c>
      <c r="G463" s="86">
        <v>23</v>
      </c>
      <c r="H463" s="86">
        <v>893</v>
      </c>
      <c r="I463" s="86">
        <v>761</v>
      </c>
      <c r="J463" s="87">
        <v>20539</v>
      </c>
      <c r="K463" s="87">
        <v>17503</v>
      </c>
      <c r="L463" s="87">
        <v>-3036</v>
      </c>
      <c r="M463" s="87" t="s">
        <v>113</v>
      </c>
    </row>
    <row r="464" spans="1:13" ht="15.6" thickTop="1" thickBot="1" x14ac:dyDescent="0.35">
      <c r="A464" s="85">
        <v>45591</v>
      </c>
      <c r="B464" s="86" t="s">
        <v>289</v>
      </c>
      <c r="C464" s="86" t="s">
        <v>139</v>
      </c>
      <c r="D464" s="86" t="s">
        <v>220</v>
      </c>
      <c r="E464" s="86" t="s">
        <v>125</v>
      </c>
      <c r="F464" s="86" t="s">
        <v>123</v>
      </c>
      <c r="G464" s="86">
        <v>29</v>
      </c>
      <c r="H464" s="86">
        <v>661</v>
      </c>
      <c r="I464" s="86">
        <v>1400</v>
      </c>
      <c r="J464" s="87">
        <v>19169</v>
      </c>
      <c r="K464" s="87">
        <v>40600</v>
      </c>
      <c r="L464" s="87">
        <v>21431</v>
      </c>
      <c r="M464" s="87" t="s">
        <v>116</v>
      </c>
    </row>
    <row r="465" spans="1:13" ht="15.6" thickTop="1" thickBot="1" x14ac:dyDescent="0.35">
      <c r="A465" s="85">
        <v>45591</v>
      </c>
      <c r="B465" s="86" t="s">
        <v>289</v>
      </c>
      <c r="C465" s="86" t="s">
        <v>139</v>
      </c>
      <c r="D465" s="86" t="s">
        <v>220</v>
      </c>
      <c r="E465" s="86" t="s">
        <v>125</v>
      </c>
      <c r="F465" s="86" t="s">
        <v>123</v>
      </c>
      <c r="G465" s="86">
        <v>23</v>
      </c>
      <c r="H465" s="86">
        <v>746</v>
      </c>
      <c r="I465" s="86">
        <v>1410</v>
      </c>
      <c r="J465" s="87">
        <v>17158</v>
      </c>
      <c r="K465" s="87">
        <v>32430</v>
      </c>
      <c r="L465" s="87">
        <v>15272</v>
      </c>
      <c r="M465" s="87" t="s">
        <v>116</v>
      </c>
    </row>
    <row r="466" spans="1:13" ht="15.6" thickTop="1" thickBot="1" x14ac:dyDescent="0.35">
      <c r="A466" s="85">
        <v>45591</v>
      </c>
      <c r="B466" s="86" t="s">
        <v>289</v>
      </c>
      <c r="C466" s="86" t="s">
        <v>139</v>
      </c>
      <c r="D466" s="86" t="s">
        <v>220</v>
      </c>
      <c r="E466" s="86" t="s">
        <v>125</v>
      </c>
      <c r="F466" s="86" t="s">
        <v>123</v>
      </c>
      <c r="G466" s="86">
        <v>22</v>
      </c>
      <c r="H466" s="86">
        <v>725</v>
      </c>
      <c r="I466" s="86">
        <v>1268</v>
      </c>
      <c r="J466" s="87">
        <v>15950</v>
      </c>
      <c r="K466" s="87">
        <v>27896</v>
      </c>
      <c r="L466" s="87">
        <v>11946</v>
      </c>
      <c r="M466" s="87" t="s">
        <v>116</v>
      </c>
    </row>
    <row r="467" spans="1:13" ht="15.6" thickTop="1" thickBot="1" x14ac:dyDescent="0.35">
      <c r="A467" s="85">
        <v>45683</v>
      </c>
      <c r="B467" s="86" t="s">
        <v>327</v>
      </c>
      <c r="C467" s="86" t="s">
        <v>109</v>
      </c>
      <c r="D467" s="86" t="s">
        <v>131</v>
      </c>
      <c r="E467" s="86" t="s">
        <v>122</v>
      </c>
      <c r="F467" s="86" t="s">
        <v>112</v>
      </c>
      <c r="G467" s="86">
        <v>19</v>
      </c>
      <c r="H467" s="86">
        <v>911</v>
      </c>
      <c r="I467" s="86">
        <v>1116</v>
      </c>
      <c r="J467" s="87">
        <v>17309</v>
      </c>
      <c r="K467" s="87">
        <v>21204</v>
      </c>
      <c r="L467" s="87">
        <v>3895</v>
      </c>
      <c r="M467" s="87" t="s">
        <v>116</v>
      </c>
    </row>
    <row r="468" spans="1:13" ht="15.6" thickTop="1" thickBot="1" x14ac:dyDescent="0.35">
      <c r="A468" s="85">
        <v>45709</v>
      </c>
      <c r="B468" s="86" t="s">
        <v>338</v>
      </c>
      <c r="C468" s="86" t="s">
        <v>127</v>
      </c>
      <c r="D468" s="86" t="s">
        <v>186</v>
      </c>
      <c r="E468" s="86" t="s">
        <v>240</v>
      </c>
      <c r="F468" s="86" t="s">
        <v>123</v>
      </c>
      <c r="G468" s="86">
        <v>88</v>
      </c>
      <c r="H468" s="86">
        <v>635</v>
      </c>
      <c r="I468" s="86">
        <v>1370</v>
      </c>
      <c r="J468" s="87">
        <v>55880</v>
      </c>
      <c r="K468" s="87">
        <v>120560</v>
      </c>
      <c r="L468" s="87">
        <v>64680</v>
      </c>
      <c r="M468" s="87" t="s">
        <v>116</v>
      </c>
    </row>
    <row r="469" spans="1:13" ht="15.6" thickTop="1" thickBot="1" x14ac:dyDescent="0.35">
      <c r="A469" s="85">
        <v>45523</v>
      </c>
      <c r="B469" s="86" t="s">
        <v>284</v>
      </c>
      <c r="C469" s="86" t="s">
        <v>139</v>
      </c>
      <c r="D469" s="86" t="s">
        <v>205</v>
      </c>
      <c r="E469" s="86" t="s">
        <v>133</v>
      </c>
      <c r="F469" s="86" t="s">
        <v>123</v>
      </c>
      <c r="G469" s="86">
        <v>28</v>
      </c>
      <c r="H469" s="86">
        <v>923</v>
      </c>
      <c r="I469" s="86">
        <v>1395</v>
      </c>
      <c r="J469" s="87">
        <v>25844</v>
      </c>
      <c r="K469" s="87">
        <v>39060</v>
      </c>
      <c r="L469" s="87">
        <v>13216</v>
      </c>
      <c r="M469" s="87" t="s">
        <v>116</v>
      </c>
    </row>
    <row r="470" spans="1:13" ht="15.6" thickTop="1" thickBot="1" x14ac:dyDescent="0.35">
      <c r="A470" s="85">
        <v>45523</v>
      </c>
      <c r="B470" s="86" t="s">
        <v>284</v>
      </c>
      <c r="C470" s="86" t="s">
        <v>139</v>
      </c>
      <c r="D470" s="86" t="s">
        <v>205</v>
      </c>
      <c r="E470" s="86" t="s">
        <v>133</v>
      </c>
      <c r="F470" s="86" t="s">
        <v>123</v>
      </c>
      <c r="G470" s="86">
        <v>30</v>
      </c>
      <c r="H470" s="86">
        <v>624</v>
      </c>
      <c r="I470" s="86">
        <v>999</v>
      </c>
      <c r="J470" s="87">
        <v>18720</v>
      </c>
      <c r="K470" s="87">
        <v>29970</v>
      </c>
      <c r="L470" s="87">
        <v>11250</v>
      </c>
      <c r="M470" s="87" t="s">
        <v>116</v>
      </c>
    </row>
    <row r="471" spans="1:13" ht="15.6" thickTop="1" thickBot="1" x14ac:dyDescent="0.35">
      <c r="A471" s="85">
        <v>45523</v>
      </c>
      <c r="B471" s="86" t="s">
        <v>284</v>
      </c>
      <c r="C471" s="86" t="s">
        <v>139</v>
      </c>
      <c r="D471" s="86" t="s">
        <v>205</v>
      </c>
      <c r="E471" s="86" t="s">
        <v>133</v>
      </c>
      <c r="F471" s="86" t="s">
        <v>123</v>
      </c>
      <c r="G471" s="86">
        <v>27</v>
      </c>
      <c r="H471" s="86">
        <v>674</v>
      </c>
      <c r="I471" s="86">
        <v>1119</v>
      </c>
      <c r="J471" s="87">
        <v>18198</v>
      </c>
      <c r="K471" s="87">
        <v>30213</v>
      </c>
      <c r="L471" s="87">
        <v>12015</v>
      </c>
      <c r="M471" s="87" t="s">
        <v>116</v>
      </c>
    </row>
    <row r="472" spans="1:13" ht="15.6" thickTop="1" thickBot="1" x14ac:dyDescent="0.35">
      <c r="A472" s="85">
        <v>45600</v>
      </c>
      <c r="B472" s="86" t="s">
        <v>296</v>
      </c>
      <c r="C472" s="86" t="s">
        <v>139</v>
      </c>
      <c r="D472" s="86" t="s">
        <v>140</v>
      </c>
      <c r="E472" s="86" t="s">
        <v>120</v>
      </c>
      <c r="F472" s="86" t="s">
        <v>112</v>
      </c>
      <c r="G472" s="86">
        <v>28</v>
      </c>
      <c r="H472" s="86">
        <v>924</v>
      </c>
      <c r="I472" s="86">
        <v>847</v>
      </c>
      <c r="J472" s="87">
        <v>25872</v>
      </c>
      <c r="K472" s="87">
        <v>23716</v>
      </c>
      <c r="L472" s="87">
        <v>-2156</v>
      </c>
      <c r="M472" s="87" t="s">
        <v>113</v>
      </c>
    </row>
    <row r="473" spans="1:13" ht="15.6" thickTop="1" thickBot="1" x14ac:dyDescent="0.35">
      <c r="A473" s="85">
        <v>45600</v>
      </c>
      <c r="B473" s="86" t="s">
        <v>296</v>
      </c>
      <c r="C473" s="86" t="s">
        <v>139</v>
      </c>
      <c r="D473" s="86" t="s">
        <v>140</v>
      </c>
      <c r="E473" s="86" t="s">
        <v>120</v>
      </c>
      <c r="F473" s="86" t="s">
        <v>112</v>
      </c>
      <c r="G473" s="86">
        <v>20</v>
      </c>
      <c r="H473" s="86">
        <v>941</v>
      </c>
      <c r="I473" s="86">
        <v>1181</v>
      </c>
      <c r="J473" s="87">
        <v>18820</v>
      </c>
      <c r="K473" s="87">
        <v>23620</v>
      </c>
      <c r="L473" s="87">
        <v>4800</v>
      </c>
      <c r="M473" s="87" t="s">
        <v>116</v>
      </c>
    </row>
    <row r="474" spans="1:13" ht="15.6" thickTop="1" thickBot="1" x14ac:dyDescent="0.35">
      <c r="A474" s="85">
        <v>45600</v>
      </c>
      <c r="B474" s="86" t="s">
        <v>296</v>
      </c>
      <c r="C474" s="86" t="s">
        <v>139</v>
      </c>
      <c r="D474" s="86" t="s">
        <v>140</v>
      </c>
      <c r="E474" s="86" t="s">
        <v>120</v>
      </c>
      <c r="F474" s="86" t="s">
        <v>112</v>
      </c>
      <c r="G474" s="86">
        <v>28</v>
      </c>
      <c r="H474" s="86">
        <v>858</v>
      </c>
      <c r="I474" s="86">
        <v>1127</v>
      </c>
      <c r="J474" s="87">
        <v>24024</v>
      </c>
      <c r="K474" s="87">
        <v>31556</v>
      </c>
      <c r="L474" s="87">
        <v>7532</v>
      </c>
      <c r="M474" s="87" t="s">
        <v>116</v>
      </c>
    </row>
    <row r="475" spans="1:13" ht="15.6" thickTop="1" thickBot="1" x14ac:dyDescent="0.35">
      <c r="A475" s="85">
        <v>45665</v>
      </c>
      <c r="B475" s="86" t="s">
        <v>189</v>
      </c>
      <c r="C475" s="86" t="s">
        <v>109</v>
      </c>
      <c r="D475" s="86" t="s">
        <v>110</v>
      </c>
      <c r="E475" s="80" t="s">
        <v>120</v>
      </c>
      <c r="F475" s="86" t="s">
        <v>123</v>
      </c>
      <c r="G475" s="86">
        <v>11</v>
      </c>
      <c r="H475" s="86">
        <v>617</v>
      </c>
      <c r="I475" s="86">
        <v>1025</v>
      </c>
      <c r="J475" s="87">
        <v>6787</v>
      </c>
      <c r="K475" s="87">
        <v>11275</v>
      </c>
      <c r="L475" s="87">
        <v>4488</v>
      </c>
      <c r="M475" s="87" t="s">
        <v>116</v>
      </c>
    </row>
    <row r="476" spans="1:13" ht="15.6" thickTop="1" thickBot="1" x14ac:dyDescent="0.35">
      <c r="A476" s="85">
        <v>45665</v>
      </c>
      <c r="B476" s="86" t="s">
        <v>189</v>
      </c>
      <c r="C476" s="86" t="s">
        <v>109</v>
      </c>
      <c r="D476" s="86" t="s">
        <v>110</v>
      </c>
      <c r="E476" s="86" t="s">
        <v>120</v>
      </c>
      <c r="F476" s="86" t="s">
        <v>123</v>
      </c>
      <c r="G476" s="86">
        <v>15</v>
      </c>
      <c r="H476" s="86">
        <v>827</v>
      </c>
      <c r="I476" s="86">
        <v>931</v>
      </c>
      <c r="J476" s="87">
        <v>12405</v>
      </c>
      <c r="K476" s="87">
        <v>13965</v>
      </c>
      <c r="L476" s="87">
        <v>1560</v>
      </c>
      <c r="M476" s="87" t="s">
        <v>116</v>
      </c>
    </row>
    <row r="477" spans="1:13" ht="15.6" thickTop="1" thickBot="1" x14ac:dyDescent="0.35">
      <c r="A477" s="85">
        <v>45562</v>
      </c>
      <c r="B477" s="93" t="s">
        <v>173</v>
      </c>
      <c r="C477" s="86" t="s">
        <v>109</v>
      </c>
      <c r="D477" s="86" t="s">
        <v>110</v>
      </c>
      <c r="E477" s="86" t="s">
        <v>129</v>
      </c>
      <c r="F477" s="86" t="s">
        <v>123</v>
      </c>
      <c r="G477" s="86">
        <v>17</v>
      </c>
      <c r="H477" s="86">
        <v>565</v>
      </c>
      <c r="I477" s="86">
        <v>1281</v>
      </c>
      <c r="J477" s="87">
        <v>9605</v>
      </c>
      <c r="K477" s="87">
        <v>21777</v>
      </c>
      <c r="L477" s="87">
        <v>12172</v>
      </c>
      <c r="M477" s="87" t="s">
        <v>116</v>
      </c>
    </row>
    <row r="478" spans="1:13" ht="15.6" thickTop="1" thickBot="1" x14ac:dyDescent="0.35">
      <c r="A478" s="85">
        <v>45483</v>
      </c>
      <c r="B478" s="93" t="s">
        <v>148</v>
      </c>
      <c r="C478" s="86" t="s">
        <v>109</v>
      </c>
      <c r="D478" s="86" t="s">
        <v>131</v>
      </c>
      <c r="E478" s="86" t="s">
        <v>133</v>
      </c>
      <c r="F478" s="86" t="s">
        <v>112</v>
      </c>
      <c r="G478" s="86">
        <v>17</v>
      </c>
      <c r="H478" s="86">
        <v>773</v>
      </c>
      <c r="I478" s="86">
        <v>1266</v>
      </c>
      <c r="J478" s="87">
        <v>13141</v>
      </c>
      <c r="K478" s="87">
        <v>21522</v>
      </c>
      <c r="L478" s="87">
        <v>8381</v>
      </c>
      <c r="M478" s="87" t="s">
        <v>116</v>
      </c>
    </row>
    <row r="479" spans="1:13" ht="15.6" thickTop="1" thickBot="1" x14ac:dyDescent="0.35">
      <c r="A479" s="85">
        <v>45545</v>
      </c>
      <c r="B479" s="93" t="s">
        <v>163</v>
      </c>
      <c r="C479" s="86" t="s">
        <v>109</v>
      </c>
      <c r="D479" s="86" t="s">
        <v>131</v>
      </c>
      <c r="E479" s="86" t="s">
        <v>120</v>
      </c>
      <c r="F479" s="86" t="s">
        <v>123</v>
      </c>
      <c r="G479" s="86">
        <v>13</v>
      </c>
      <c r="H479" s="86">
        <v>523</v>
      </c>
      <c r="I479" s="86">
        <v>1326</v>
      </c>
      <c r="J479" s="87">
        <v>6799</v>
      </c>
      <c r="K479" s="87">
        <v>17238</v>
      </c>
      <c r="L479" s="87">
        <v>10439</v>
      </c>
      <c r="M479" s="87" t="s">
        <v>116</v>
      </c>
    </row>
    <row r="480" spans="1:13" ht="15.6" thickTop="1" thickBot="1" x14ac:dyDescent="0.35">
      <c r="A480" s="85">
        <v>45460</v>
      </c>
      <c r="B480" s="93" t="s">
        <v>124</v>
      </c>
      <c r="C480" s="86" t="s">
        <v>109</v>
      </c>
      <c r="D480" s="86" t="s">
        <v>110</v>
      </c>
      <c r="E480" s="86" t="s">
        <v>125</v>
      </c>
      <c r="F480" s="86" t="s">
        <v>123</v>
      </c>
      <c r="G480" s="86">
        <v>20</v>
      </c>
      <c r="H480" s="86">
        <v>941</v>
      </c>
      <c r="I480" s="86">
        <v>1053</v>
      </c>
      <c r="J480" s="87">
        <v>18820</v>
      </c>
      <c r="K480" s="87">
        <v>21060</v>
      </c>
      <c r="L480" s="87">
        <v>2240</v>
      </c>
      <c r="M480" s="87" t="s">
        <v>116</v>
      </c>
    </row>
    <row r="481" spans="1:13" ht="15.6" thickTop="1" thickBot="1" x14ac:dyDescent="0.35">
      <c r="A481" s="85">
        <v>45581</v>
      </c>
      <c r="B481" s="93" t="s">
        <v>179</v>
      </c>
      <c r="C481" s="86" t="s">
        <v>109</v>
      </c>
      <c r="D481" s="86" t="s">
        <v>131</v>
      </c>
      <c r="E481" s="86" t="s">
        <v>120</v>
      </c>
      <c r="F481" s="86" t="s">
        <v>123</v>
      </c>
      <c r="G481" s="86">
        <v>17</v>
      </c>
      <c r="H481" s="86">
        <v>739</v>
      </c>
      <c r="I481" s="86">
        <v>826</v>
      </c>
      <c r="J481" s="87">
        <v>12563</v>
      </c>
      <c r="K481" s="87">
        <v>14042</v>
      </c>
      <c r="L481" s="87">
        <v>1479</v>
      </c>
      <c r="M481" s="87" t="s">
        <v>116</v>
      </c>
    </row>
    <row r="482" spans="1:13" ht="15.6" thickTop="1" thickBot="1" x14ac:dyDescent="0.35">
      <c r="A482" s="85">
        <v>45548</v>
      </c>
      <c r="B482" s="93" t="s">
        <v>167</v>
      </c>
      <c r="C482" s="86" t="s">
        <v>109</v>
      </c>
      <c r="D482" s="86" t="s">
        <v>131</v>
      </c>
      <c r="E482" s="86" t="s">
        <v>168</v>
      </c>
      <c r="F482" s="86" t="s">
        <v>112</v>
      </c>
      <c r="G482" s="86">
        <v>13</v>
      </c>
      <c r="H482" s="86">
        <v>515</v>
      </c>
      <c r="I482" s="86">
        <v>1095</v>
      </c>
      <c r="J482" s="87">
        <v>6695</v>
      </c>
      <c r="K482" s="87">
        <v>14235</v>
      </c>
      <c r="L482" s="87">
        <v>7540</v>
      </c>
      <c r="M482" s="87" t="s">
        <v>116</v>
      </c>
    </row>
    <row r="483" spans="1:13" ht="15.6" thickTop="1" thickBot="1" x14ac:dyDescent="0.35">
      <c r="A483" s="85">
        <v>45480</v>
      </c>
      <c r="B483" s="93" t="s">
        <v>144</v>
      </c>
      <c r="C483" s="86" t="s">
        <v>109</v>
      </c>
      <c r="D483" s="86" t="s">
        <v>131</v>
      </c>
      <c r="E483" s="86" t="s">
        <v>145</v>
      </c>
      <c r="F483" s="86" t="s">
        <v>123</v>
      </c>
      <c r="G483" s="86">
        <v>20</v>
      </c>
      <c r="H483" s="86">
        <v>689</v>
      </c>
      <c r="I483" s="86">
        <v>939</v>
      </c>
      <c r="J483" s="87">
        <v>13780</v>
      </c>
      <c r="K483" s="87">
        <v>18780</v>
      </c>
      <c r="L483" s="87">
        <v>5000</v>
      </c>
      <c r="M483" s="87" t="s">
        <v>116</v>
      </c>
    </row>
    <row r="484" spans="1:13" ht="15.6" thickTop="1" thickBot="1" x14ac:dyDescent="0.35">
      <c r="A484" s="85">
        <v>45553</v>
      </c>
      <c r="B484" s="93" t="s">
        <v>172</v>
      </c>
      <c r="C484" s="86" t="s">
        <v>109</v>
      </c>
      <c r="D484" s="86" t="s">
        <v>131</v>
      </c>
      <c r="E484" s="86" t="s">
        <v>133</v>
      </c>
      <c r="F484" s="86" t="s">
        <v>112</v>
      </c>
      <c r="G484" s="86">
        <v>18</v>
      </c>
      <c r="H484" s="86">
        <v>629</v>
      </c>
      <c r="I484" s="86">
        <v>945</v>
      </c>
      <c r="J484" s="87">
        <v>11322</v>
      </c>
      <c r="K484" s="87">
        <v>17010</v>
      </c>
      <c r="L484" s="87">
        <v>5688</v>
      </c>
      <c r="M484" s="87" t="s">
        <v>116</v>
      </c>
    </row>
    <row r="485" spans="1:13" ht="15.6" thickTop="1" thickBot="1" x14ac:dyDescent="0.35">
      <c r="A485" s="85">
        <v>45663</v>
      </c>
      <c r="B485" s="93" t="s">
        <v>188</v>
      </c>
      <c r="C485" s="86" t="s">
        <v>109</v>
      </c>
      <c r="D485" s="86" t="s">
        <v>110</v>
      </c>
      <c r="E485" s="81" t="s">
        <v>115</v>
      </c>
      <c r="F485" s="86" t="s">
        <v>112</v>
      </c>
      <c r="G485" s="86">
        <v>10</v>
      </c>
      <c r="H485" s="86">
        <v>774</v>
      </c>
      <c r="I485" s="86">
        <v>1472</v>
      </c>
      <c r="J485" s="87">
        <v>7740</v>
      </c>
      <c r="K485" s="87">
        <v>14720</v>
      </c>
      <c r="L485" s="87">
        <v>6980</v>
      </c>
      <c r="M485" s="87" t="s">
        <v>116</v>
      </c>
    </row>
    <row r="486" spans="1:13" ht="15.6" thickTop="1" thickBot="1" x14ac:dyDescent="0.35">
      <c r="A486" s="85">
        <v>45513</v>
      </c>
      <c r="B486" s="93" t="s">
        <v>152</v>
      </c>
      <c r="C486" s="86" t="s">
        <v>109</v>
      </c>
      <c r="D486" s="86" t="s">
        <v>131</v>
      </c>
      <c r="E486" s="86" t="s">
        <v>133</v>
      </c>
      <c r="F486" s="86" t="s">
        <v>112</v>
      </c>
      <c r="G486" s="86">
        <v>19</v>
      </c>
      <c r="H486" s="86">
        <v>654</v>
      </c>
      <c r="I486" s="86">
        <v>1295</v>
      </c>
      <c r="J486" s="87">
        <v>12426</v>
      </c>
      <c r="K486" s="87">
        <v>24605</v>
      </c>
      <c r="L486" s="87">
        <v>12179</v>
      </c>
      <c r="M486" s="87" t="s">
        <v>116</v>
      </c>
    </row>
    <row r="487" spans="1:13" ht="15.6" thickTop="1" thickBot="1" x14ac:dyDescent="0.35">
      <c r="A487" s="85">
        <v>45547</v>
      </c>
      <c r="B487" s="93" t="s">
        <v>165</v>
      </c>
      <c r="C487" s="86" t="s">
        <v>109</v>
      </c>
      <c r="D487" s="86" t="s">
        <v>131</v>
      </c>
      <c r="E487" s="86" t="s">
        <v>166</v>
      </c>
      <c r="F487" s="86" t="s">
        <v>112</v>
      </c>
      <c r="G487" s="86">
        <v>12</v>
      </c>
      <c r="H487" s="86">
        <v>707</v>
      </c>
      <c r="I487" s="86">
        <v>1203</v>
      </c>
      <c r="J487" s="87">
        <v>8484</v>
      </c>
      <c r="K487" s="87">
        <v>14436</v>
      </c>
      <c r="L487" s="87">
        <v>5952</v>
      </c>
      <c r="M487" s="87" t="s">
        <v>116</v>
      </c>
    </row>
    <row r="488" spans="1:13" ht="15.6" thickTop="1" thickBot="1" x14ac:dyDescent="0.35">
      <c r="A488" s="85">
        <v>45659</v>
      </c>
      <c r="B488" s="93" t="s">
        <v>184</v>
      </c>
      <c r="C488" s="86" t="s">
        <v>109</v>
      </c>
      <c r="D488" s="86" t="s">
        <v>110</v>
      </c>
      <c r="E488" s="86" t="s">
        <v>120</v>
      </c>
      <c r="F488" s="86" t="s">
        <v>112</v>
      </c>
      <c r="G488" s="86">
        <v>16</v>
      </c>
      <c r="H488" s="86">
        <v>632</v>
      </c>
      <c r="I488" s="86">
        <v>835</v>
      </c>
      <c r="J488" s="87">
        <v>10112</v>
      </c>
      <c r="K488" s="87">
        <v>13360</v>
      </c>
      <c r="L488" s="87">
        <v>3248</v>
      </c>
      <c r="M488" s="87" t="s">
        <v>116</v>
      </c>
    </row>
    <row r="489" spans="1:13" ht="15.6" thickTop="1" thickBot="1" x14ac:dyDescent="0.35">
      <c r="A489" s="85">
        <v>45459</v>
      </c>
      <c r="B489" s="93" t="s">
        <v>121</v>
      </c>
      <c r="C489" s="86" t="s">
        <v>109</v>
      </c>
      <c r="D489" s="86" t="s">
        <v>110</v>
      </c>
      <c r="E489" s="86" t="s">
        <v>122</v>
      </c>
      <c r="F489" s="86" t="s">
        <v>123</v>
      </c>
      <c r="G489" s="86">
        <v>12</v>
      </c>
      <c r="H489" s="86">
        <v>997</v>
      </c>
      <c r="I489" s="86">
        <v>1445</v>
      </c>
      <c r="J489" s="87">
        <v>11964</v>
      </c>
      <c r="K489" s="87">
        <v>17340</v>
      </c>
      <c r="L489" s="87">
        <v>5376</v>
      </c>
      <c r="M489" s="87" t="s">
        <v>116</v>
      </c>
    </row>
    <row r="490" spans="1:13" ht="15.6" thickTop="1" thickBot="1" x14ac:dyDescent="0.35">
      <c r="A490" s="85">
        <v>45685</v>
      </c>
      <c r="B490" s="93" t="s">
        <v>197</v>
      </c>
      <c r="C490" s="86" t="s">
        <v>109</v>
      </c>
      <c r="D490" s="86" t="s">
        <v>131</v>
      </c>
      <c r="E490" s="86" t="s">
        <v>120</v>
      </c>
      <c r="F490" s="86" t="s">
        <v>123</v>
      </c>
      <c r="G490" s="86">
        <v>19</v>
      </c>
      <c r="H490" s="86">
        <v>972</v>
      </c>
      <c r="I490" s="86">
        <v>1314</v>
      </c>
      <c r="J490" s="87">
        <v>18468</v>
      </c>
      <c r="K490" s="87">
        <v>24966</v>
      </c>
      <c r="L490" s="87">
        <v>6498</v>
      </c>
      <c r="M490" s="87" t="s">
        <v>116</v>
      </c>
    </row>
    <row r="491" spans="1:13" ht="15.6" thickTop="1" thickBot="1" x14ac:dyDescent="0.35">
      <c r="A491" s="85">
        <v>45514</v>
      </c>
      <c r="B491" s="93" t="s">
        <v>156</v>
      </c>
      <c r="C491" s="86" t="s">
        <v>109</v>
      </c>
      <c r="D491" s="86" t="s">
        <v>131</v>
      </c>
      <c r="E491" s="86" t="s">
        <v>133</v>
      </c>
      <c r="F491" s="86" t="s">
        <v>112</v>
      </c>
      <c r="G491" s="86">
        <v>18</v>
      </c>
      <c r="H491" s="86">
        <v>767</v>
      </c>
      <c r="I491" s="86">
        <v>988</v>
      </c>
      <c r="J491" s="87">
        <v>13806</v>
      </c>
      <c r="K491" s="87">
        <v>17784</v>
      </c>
      <c r="L491" s="87">
        <v>3978</v>
      </c>
      <c r="M491" s="87" t="s">
        <v>116</v>
      </c>
    </row>
    <row r="492" spans="1:13" ht="15.6" thickTop="1" thickBot="1" x14ac:dyDescent="0.35">
      <c r="A492" s="85">
        <v>45688</v>
      </c>
      <c r="B492" s="93" t="s">
        <v>199</v>
      </c>
      <c r="C492" s="86" t="s">
        <v>109</v>
      </c>
      <c r="D492" s="86" t="s">
        <v>131</v>
      </c>
      <c r="E492" s="86" t="s">
        <v>200</v>
      </c>
      <c r="F492" s="86" t="s">
        <v>123</v>
      </c>
      <c r="G492" s="86">
        <v>17</v>
      </c>
      <c r="H492" s="86">
        <v>750</v>
      </c>
      <c r="I492" s="86">
        <v>1253</v>
      </c>
      <c r="J492" s="87">
        <v>12750</v>
      </c>
      <c r="K492" s="87">
        <v>21301</v>
      </c>
      <c r="L492" s="87">
        <v>8551</v>
      </c>
      <c r="M492" s="87" t="s">
        <v>116</v>
      </c>
    </row>
    <row r="493" spans="1:13" ht="15.6" thickTop="1" thickBot="1" x14ac:dyDescent="0.35">
      <c r="A493" s="85">
        <v>45478</v>
      </c>
      <c r="B493" s="93" t="s">
        <v>141</v>
      </c>
      <c r="C493" s="86" t="s">
        <v>109</v>
      </c>
      <c r="D493" s="86" t="s">
        <v>131</v>
      </c>
      <c r="E493" s="86" t="s">
        <v>142</v>
      </c>
      <c r="F493" s="86" t="s">
        <v>112</v>
      </c>
      <c r="G493" s="86">
        <v>11</v>
      </c>
      <c r="H493" s="86">
        <v>674</v>
      </c>
      <c r="I493" s="86">
        <v>1415</v>
      </c>
      <c r="J493" s="87">
        <v>7414</v>
      </c>
      <c r="K493" s="87">
        <v>15565</v>
      </c>
      <c r="L493" s="87">
        <v>8151</v>
      </c>
      <c r="M493" s="87" t="s">
        <v>116</v>
      </c>
    </row>
    <row r="494" spans="1:13" ht="15.6" thickTop="1" thickBot="1" x14ac:dyDescent="0.35">
      <c r="A494" s="85">
        <v>45566</v>
      </c>
      <c r="B494" s="93" t="s">
        <v>175</v>
      </c>
      <c r="C494" s="86" t="s">
        <v>109</v>
      </c>
      <c r="D494" s="86" t="s">
        <v>110</v>
      </c>
      <c r="E494" s="86" t="s">
        <v>155</v>
      </c>
      <c r="F494" s="86" t="s">
        <v>112</v>
      </c>
      <c r="G494" s="86">
        <v>18</v>
      </c>
      <c r="H494" s="86">
        <v>867</v>
      </c>
      <c r="I494" s="86">
        <v>875</v>
      </c>
      <c r="J494" s="87">
        <v>15606</v>
      </c>
      <c r="K494" s="87">
        <v>15750</v>
      </c>
      <c r="L494" s="87">
        <v>144</v>
      </c>
      <c r="M494" s="87" t="s">
        <v>116</v>
      </c>
    </row>
    <row r="495" spans="1:13" ht="15.6" thickTop="1" thickBot="1" x14ac:dyDescent="0.35">
      <c r="A495" s="85">
        <v>45472</v>
      </c>
      <c r="B495" s="93" t="s">
        <v>130</v>
      </c>
      <c r="C495" s="86" t="s">
        <v>109</v>
      </c>
      <c r="D495" s="86" t="s">
        <v>131</v>
      </c>
      <c r="E495" s="86" t="s">
        <v>129</v>
      </c>
      <c r="F495" s="86" t="s">
        <v>112</v>
      </c>
      <c r="G495" s="86">
        <v>19</v>
      </c>
      <c r="H495" s="86">
        <v>952</v>
      </c>
      <c r="I495" s="86">
        <v>1486</v>
      </c>
      <c r="J495" s="87">
        <v>18088</v>
      </c>
      <c r="K495" s="87">
        <v>28234</v>
      </c>
      <c r="L495" s="87">
        <v>10146</v>
      </c>
      <c r="M495" s="87" t="s">
        <v>116</v>
      </c>
    </row>
    <row r="496" spans="1:13" ht="15.6" thickTop="1" thickBot="1" x14ac:dyDescent="0.35">
      <c r="A496" s="85">
        <v>45661</v>
      </c>
      <c r="B496" s="93" t="s">
        <v>187</v>
      </c>
      <c r="C496" s="86" t="s">
        <v>109</v>
      </c>
      <c r="D496" s="86" t="s">
        <v>110</v>
      </c>
      <c r="E496" s="86" t="s">
        <v>161</v>
      </c>
      <c r="F496" s="86" t="s">
        <v>112</v>
      </c>
      <c r="G496" s="81">
        <v>11</v>
      </c>
      <c r="H496" s="86">
        <v>731</v>
      </c>
      <c r="I496" s="86">
        <v>1311</v>
      </c>
      <c r="J496" s="87">
        <v>8041</v>
      </c>
      <c r="K496" s="87">
        <v>14421</v>
      </c>
      <c r="L496" s="87">
        <v>6380</v>
      </c>
      <c r="M496" s="87" t="s">
        <v>116</v>
      </c>
    </row>
    <row r="497" spans="1:13" ht="15.6" thickTop="1" thickBot="1" x14ac:dyDescent="0.35">
      <c r="A497" s="85">
        <v>45580</v>
      </c>
      <c r="B497" s="93" t="s">
        <v>178</v>
      </c>
      <c r="C497" s="86" t="s">
        <v>109</v>
      </c>
      <c r="D497" s="86" t="s">
        <v>131</v>
      </c>
      <c r="E497" s="86" t="s">
        <v>125</v>
      </c>
      <c r="F497" s="86" t="s">
        <v>123</v>
      </c>
      <c r="G497" s="86">
        <v>20</v>
      </c>
      <c r="H497" s="86">
        <v>882</v>
      </c>
      <c r="I497" s="86">
        <v>1193</v>
      </c>
      <c r="J497" s="87">
        <v>17640</v>
      </c>
      <c r="K497" s="87">
        <v>23860</v>
      </c>
      <c r="L497" s="87">
        <v>6220</v>
      </c>
      <c r="M497" s="87" t="s">
        <v>116</v>
      </c>
    </row>
    <row r="498" spans="1:13" ht="15.6" thickTop="1" thickBot="1" x14ac:dyDescent="0.35">
      <c r="A498" s="85">
        <v>45544</v>
      </c>
      <c r="B498" s="93" t="s">
        <v>162</v>
      </c>
      <c r="C498" s="86" t="s">
        <v>109</v>
      </c>
      <c r="D498" s="86" t="s">
        <v>131</v>
      </c>
      <c r="E498" s="86" t="s">
        <v>137</v>
      </c>
      <c r="F498" s="86" t="s">
        <v>123</v>
      </c>
      <c r="G498" s="86">
        <v>12</v>
      </c>
      <c r="H498" s="86">
        <v>879</v>
      </c>
      <c r="I498" s="86">
        <v>1428</v>
      </c>
      <c r="J498" s="87">
        <v>10548</v>
      </c>
      <c r="K498" s="87">
        <v>17136</v>
      </c>
      <c r="L498" s="87">
        <v>6588</v>
      </c>
      <c r="M498" s="87" t="s">
        <v>116</v>
      </c>
    </row>
    <row r="499" spans="1:13" ht="15.6" thickTop="1" thickBot="1" x14ac:dyDescent="0.35">
      <c r="A499" s="85">
        <v>45455</v>
      </c>
      <c r="B499" s="93" t="s">
        <v>114</v>
      </c>
      <c r="C499" s="86" t="s">
        <v>109</v>
      </c>
      <c r="D499" s="86" t="s">
        <v>110</v>
      </c>
      <c r="E499" s="86" t="s">
        <v>115</v>
      </c>
      <c r="F499" s="86" t="s">
        <v>112</v>
      </c>
      <c r="G499" s="86">
        <v>20</v>
      </c>
      <c r="H499" s="86">
        <v>857</v>
      </c>
      <c r="I499" s="86">
        <v>983</v>
      </c>
      <c r="J499" s="87">
        <v>17140</v>
      </c>
      <c r="K499" s="87">
        <v>19660</v>
      </c>
      <c r="L499" s="87">
        <v>2520</v>
      </c>
      <c r="M499" s="87" t="s">
        <v>116</v>
      </c>
    </row>
    <row r="500" spans="1:13" ht="15.6" thickTop="1" thickBot="1" x14ac:dyDescent="0.35">
      <c r="A500" s="85">
        <v>45665</v>
      </c>
      <c r="B500" s="93" t="s">
        <v>189</v>
      </c>
      <c r="C500" s="86" t="s">
        <v>109</v>
      </c>
      <c r="D500" s="86" t="s">
        <v>110</v>
      </c>
      <c r="E500" s="86" t="s">
        <v>120</v>
      </c>
      <c r="F500" s="86" t="s">
        <v>123</v>
      </c>
      <c r="G500" s="86">
        <v>11</v>
      </c>
      <c r="H500" s="86">
        <v>986</v>
      </c>
      <c r="I500" s="86">
        <v>1228</v>
      </c>
      <c r="J500" s="87">
        <v>10846</v>
      </c>
      <c r="K500" s="87">
        <v>13508</v>
      </c>
      <c r="L500" s="87">
        <v>2662</v>
      </c>
      <c r="M500" s="87" t="s">
        <v>116</v>
      </c>
    </row>
    <row r="501" spans="1:13" ht="15" thickTop="1" x14ac:dyDescent="0.3"/>
  </sheetData>
  <autoFilter ref="A1:M500" xr:uid="{25E3515B-A7E8-472F-BC43-29E74B63A815}"/>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8A7D-ADA9-4F74-B466-2E26AF62EC91}">
  <dimension ref="A1:BL499"/>
  <sheetViews>
    <sheetView showFormulas="1" topLeftCell="AO1" zoomScale="85" zoomScaleNormal="83" workbookViewId="0">
      <selection activeCell="AV12" sqref="AV12"/>
    </sheetView>
  </sheetViews>
  <sheetFormatPr defaultRowHeight="14.4" x14ac:dyDescent="0.3"/>
  <cols>
    <col min="1" max="1" width="17.33203125" bestFit="1" customWidth="1"/>
    <col min="2" max="2" width="26.6640625" bestFit="1" customWidth="1"/>
    <col min="3" max="3" width="12.44140625" bestFit="1" customWidth="1"/>
    <col min="4" max="4" width="24.44140625" bestFit="1" customWidth="1"/>
    <col min="5" max="5" width="16.109375" bestFit="1" customWidth="1"/>
    <col min="6" max="6" width="10.44140625" bestFit="1" customWidth="1"/>
    <col min="7" max="7" width="17.33203125" bestFit="1" customWidth="1"/>
    <col min="8" max="8" width="12" bestFit="1" customWidth="1"/>
    <col min="9" max="9" width="12.5546875" bestFit="1" customWidth="1"/>
    <col min="10" max="10" width="24.21875" bestFit="1" customWidth="1"/>
    <col min="11" max="11" width="18.33203125" bestFit="1" customWidth="1"/>
    <col min="12" max="12" width="8.33203125" bestFit="1" customWidth="1"/>
    <col min="13" max="13" width="17.33203125" bestFit="1" customWidth="1"/>
    <col min="14" max="14" width="26.6640625" bestFit="1" customWidth="1"/>
    <col min="15" max="15" width="12.44140625" bestFit="1" customWidth="1"/>
    <col min="16" max="16" width="19.21875" bestFit="1" customWidth="1"/>
    <col min="17" max="17" width="16.109375" bestFit="1" customWidth="1"/>
    <col min="18" max="18" width="10.44140625" bestFit="1" customWidth="1"/>
    <col min="19" max="19" width="12.109375" bestFit="1" customWidth="1"/>
    <col min="20" max="20" width="6.6640625" bestFit="1" customWidth="1"/>
    <col min="22" max="22" width="17.6640625" bestFit="1" customWidth="1"/>
    <col min="23" max="23" width="27.5546875" bestFit="1" customWidth="1"/>
    <col min="24" max="24" width="12.44140625" bestFit="1" customWidth="1"/>
    <col min="25" max="25" width="19.21875" bestFit="1" customWidth="1"/>
    <col min="26" max="26" width="16.33203125" bestFit="1" customWidth="1"/>
    <col min="27" max="27" width="10.44140625" bestFit="1" customWidth="1"/>
    <col min="28" max="28" width="12.109375" bestFit="1" customWidth="1"/>
    <col min="29" max="30" width="9" bestFit="1" customWidth="1"/>
    <col min="31" max="31" width="18.88671875" bestFit="1" customWidth="1"/>
    <col min="32" max="32" width="13.44140625" bestFit="1" customWidth="1"/>
    <col min="33" max="33" width="8.33203125" bestFit="1" customWidth="1"/>
    <col min="34" max="34" width="14.5546875" bestFit="1" customWidth="1"/>
    <col min="35" max="35" width="15.6640625" bestFit="1" customWidth="1"/>
  </cols>
  <sheetData>
    <row r="1" spans="1:64" ht="21" x14ac:dyDescent="0.3">
      <c r="A1" s="94" t="s">
        <v>97</v>
      </c>
      <c r="B1" s="95" t="s">
        <v>2</v>
      </c>
      <c r="C1" s="95" t="s">
        <v>98</v>
      </c>
      <c r="D1" s="95" t="s">
        <v>99</v>
      </c>
      <c r="E1" s="95" t="s">
        <v>100</v>
      </c>
      <c r="F1" s="95" t="s">
        <v>101</v>
      </c>
      <c r="G1" s="95" t="s">
        <v>57</v>
      </c>
      <c r="H1" s="95" t="s">
        <v>102</v>
      </c>
      <c r="I1" s="95" t="s">
        <v>103</v>
      </c>
      <c r="J1" s="95" t="s">
        <v>104</v>
      </c>
      <c r="K1" s="95" t="s">
        <v>105</v>
      </c>
      <c r="L1" s="95" t="s">
        <v>106</v>
      </c>
      <c r="M1" s="95" t="s">
        <v>107</v>
      </c>
      <c r="N1" s="96" t="s">
        <v>339</v>
      </c>
      <c r="V1" s="94" t="s">
        <v>97</v>
      </c>
      <c r="W1" s="95" t="s">
        <v>2</v>
      </c>
      <c r="X1" s="95" t="s">
        <v>98</v>
      </c>
      <c r="Y1" s="95" t="s">
        <v>99</v>
      </c>
      <c r="Z1" s="95" t="s">
        <v>100</v>
      </c>
      <c r="AA1" s="95" t="s">
        <v>101</v>
      </c>
      <c r="AB1" s="95" t="s">
        <v>57</v>
      </c>
      <c r="AC1" s="95" t="s">
        <v>102</v>
      </c>
      <c r="AD1" s="95" t="s">
        <v>103</v>
      </c>
      <c r="AE1" s="95" t="s">
        <v>104</v>
      </c>
      <c r="AF1" s="95" t="s">
        <v>105</v>
      </c>
      <c r="AG1" s="95" t="s">
        <v>106</v>
      </c>
      <c r="AH1" s="95" t="s">
        <v>107</v>
      </c>
      <c r="AI1" s="96" t="s">
        <v>339</v>
      </c>
    </row>
    <row r="2" spans="1:64" ht="15" thickBot="1" x14ac:dyDescent="0.35">
      <c r="A2" s="99">
        <v>45454</v>
      </c>
      <c r="B2" s="97" t="s">
        <v>108</v>
      </c>
      <c r="C2" s="19" t="s">
        <v>109</v>
      </c>
      <c r="D2" s="97" t="s">
        <v>110</v>
      </c>
      <c r="E2" s="97" t="s">
        <v>111</v>
      </c>
      <c r="F2" s="97" t="s">
        <v>112</v>
      </c>
      <c r="G2" s="97">
        <v>17</v>
      </c>
      <c r="H2" s="97">
        <v>938</v>
      </c>
      <c r="I2" s="97">
        <v>938</v>
      </c>
      <c r="J2" s="97">
        <f t="shared" ref="J2:J64" si="0">G2*H2</f>
        <v>15946</v>
      </c>
      <c r="K2" s="97">
        <f t="shared" ref="K2:K64" si="1">G2*I2</f>
        <v>15946</v>
      </c>
      <c r="L2" s="97">
        <f t="shared" ref="L2:L64" si="2">K2-J2</f>
        <v>0</v>
      </c>
      <c r="M2" s="97" t="str">
        <f>IF(L2&gt;0,"profit","loss")</f>
        <v>loss</v>
      </c>
      <c r="N2" s="100" t="b">
        <f>AND(L2&gt;0,J2&gt;20000)</f>
        <v>0</v>
      </c>
      <c r="V2" s="99">
        <v>45454</v>
      </c>
      <c r="W2" s="97" t="s">
        <v>108</v>
      </c>
      <c r="X2" s="19" t="s">
        <v>109</v>
      </c>
      <c r="Y2" s="97" t="s">
        <v>110</v>
      </c>
      <c r="Z2" s="97" t="s">
        <v>111</v>
      </c>
      <c r="AA2" s="97" t="s">
        <v>112</v>
      </c>
      <c r="AB2" s="97">
        <v>17</v>
      </c>
      <c r="AC2" s="97">
        <v>938</v>
      </c>
      <c r="AD2" s="97">
        <v>938</v>
      </c>
      <c r="AE2" s="97">
        <f t="shared" ref="AE2:AE12" si="3">AB2*AC2</f>
        <v>15946</v>
      </c>
      <c r="AF2" s="97">
        <f t="shared" ref="AF2" si="4">AB2*AD2</f>
        <v>15946</v>
      </c>
      <c r="AG2" s="97">
        <f t="shared" ref="AG2:AG12" si="5">AF2-AE2</f>
        <v>0</v>
      </c>
      <c r="AH2" s="97" t="str">
        <f>IF(AG2&gt;0,"profit","loss")</f>
        <v>loss</v>
      </c>
      <c r="AI2" s="100" t="b">
        <f>AND(AG2&gt;0,AE2&gt;20000)</f>
        <v>0</v>
      </c>
    </row>
    <row r="3" spans="1:64" ht="21.6" thickBot="1" x14ac:dyDescent="0.35">
      <c r="A3" s="99">
        <v>45455</v>
      </c>
      <c r="B3" s="97" t="s">
        <v>114</v>
      </c>
      <c r="C3" s="19" t="s">
        <v>109</v>
      </c>
      <c r="D3" s="97" t="s">
        <v>110</v>
      </c>
      <c r="E3" s="97" t="s">
        <v>115</v>
      </c>
      <c r="F3" s="97" t="s">
        <v>112</v>
      </c>
      <c r="G3" s="97">
        <v>18</v>
      </c>
      <c r="H3" s="97">
        <v>920</v>
      </c>
      <c r="I3" s="97">
        <v>1360</v>
      </c>
      <c r="J3" s="97">
        <f t="shared" si="0"/>
        <v>16560</v>
      </c>
      <c r="K3" s="97" t="s">
        <v>340</v>
      </c>
      <c r="L3" s="97" t="e">
        <f t="shared" si="2"/>
        <v>#VALUE!</v>
      </c>
      <c r="M3" s="97" t="e">
        <f t="shared" ref="M3:M65" si="6">IF(L3&gt;0,"profit","loss")</f>
        <v>#VALUE!</v>
      </c>
      <c r="N3" s="100" t="e">
        <f t="shared" ref="N3:N65" si="7">AND(L3&gt;0,J3&gt;20000)</f>
        <v>#VALUE!</v>
      </c>
      <c r="V3" s="99">
        <v>45455</v>
      </c>
      <c r="W3" s="97" t="s">
        <v>114</v>
      </c>
      <c r="X3" s="19" t="s">
        <v>109</v>
      </c>
      <c r="Y3" s="97" t="s">
        <v>110</v>
      </c>
      <c r="Z3" s="97" t="s">
        <v>115</v>
      </c>
      <c r="AA3" s="97" t="s">
        <v>112</v>
      </c>
      <c r="AB3" s="97">
        <v>18</v>
      </c>
      <c r="AC3" s="97">
        <v>920</v>
      </c>
      <c r="AD3" s="97">
        <v>1360</v>
      </c>
      <c r="AE3" s="97">
        <f t="shared" si="3"/>
        <v>16560</v>
      </c>
      <c r="AF3" s="97" t="s">
        <v>340</v>
      </c>
      <c r="AG3" s="97" t="e">
        <f t="shared" si="5"/>
        <v>#VALUE!</v>
      </c>
      <c r="AH3" s="97" t="e">
        <f t="shared" ref="AH3:AH12" si="8">IF(AG3&gt;0,"profit","loss")</f>
        <v>#VALUE!</v>
      </c>
      <c r="AI3" s="100" t="e">
        <f t="shared" ref="AI3:AI12" si="9">AND(AG3&gt;0,AE3&gt;20000)</f>
        <v>#VALUE!</v>
      </c>
      <c r="AN3" s="110" t="s">
        <v>341</v>
      </c>
      <c r="AO3" s="104" t="s">
        <v>342</v>
      </c>
      <c r="AR3" s="110" t="s">
        <v>341</v>
      </c>
      <c r="AS3" s="97">
        <v>122205</v>
      </c>
      <c r="AT3" s="97">
        <v>134129</v>
      </c>
      <c r="AU3" s="97">
        <v>128218</v>
      </c>
      <c r="AV3" s="97">
        <v>157616</v>
      </c>
      <c r="AW3" s="97">
        <v>193517</v>
      </c>
      <c r="AX3" s="97">
        <v>169766</v>
      </c>
      <c r="AY3" s="97">
        <v>140589</v>
      </c>
      <c r="AZ3" s="97">
        <v>144002</v>
      </c>
      <c r="BA3" s="97">
        <v>141726</v>
      </c>
      <c r="BB3" s="97">
        <v>112420</v>
      </c>
      <c r="BC3" s="97">
        <v>102720</v>
      </c>
      <c r="BD3" s="97">
        <v>186808</v>
      </c>
      <c r="BE3" s="97">
        <v>141796</v>
      </c>
      <c r="BF3" s="97">
        <v>135424</v>
      </c>
      <c r="BG3" s="97">
        <v>157602</v>
      </c>
      <c r="BH3" s="97">
        <v>100693</v>
      </c>
      <c r="BI3" s="97">
        <v>123762</v>
      </c>
      <c r="BJ3" s="97">
        <v>138091</v>
      </c>
      <c r="BK3" s="97">
        <v>177262</v>
      </c>
      <c r="BL3" s="97">
        <v>194006</v>
      </c>
    </row>
    <row r="4" spans="1:64" ht="21" x14ac:dyDescent="0.3">
      <c r="A4" s="99">
        <v>45456</v>
      </c>
      <c r="B4" s="97" t="s">
        <v>117</v>
      </c>
      <c r="C4" s="19" t="s">
        <v>109</v>
      </c>
      <c r="D4" s="97" t="s">
        <v>110</v>
      </c>
      <c r="E4" s="97" t="s">
        <v>118</v>
      </c>
      <c r="F4" s="97" t="s">
        <v>112</v>
      </c>
      <c r="G4" s="97">
        <v>20</v>
      </c>
      <c r="H4" s="97">
        <v>731</v>
      </c>
      <c r="I4" s="97">
        <v>1186</v>
      </c>
      <c r="J4" s="97">
        <f t="shared" si="0"/>
        <v>14620</v>
      </c>
      <c r="K4" s="97">
        <f t="shared" si="1"/>
        <v>23720</v>
      </c>
      <c r="L4" s="97">
        <f t="shared" si="2"/>
        <v>9100</v>
      </c>
      <c r="M4" s="97" t="str">
        <f t="shared" si="6"/>
        <v>profit</v>
      </c>
      <c r="N4" s="100" t="b">
        <f t="shared" si="7"/>
        <v>0</v>
      </c>
      <c r="V4" s="99">
        <v>45456</v>
      </c>
      <c r="W4" s="97" t="s">
        <v>117</v>
      </c>
      <c r="X4" s="19" t="s">
        <v>109</v>
      </c>
      <c r="Y4" s="97" t="s">
        <v>110</v>
      </c>
      <c r="Z4" s="97" t="s">
        <v>118</v>
      </c>
      <c r="AA4" s="97" t="s">
        <v>112</v>
      </c>
      <c r="AB4" s="97">
        <v>20</v>
      </c>
      <c r="AC4" s="97">
        <v>731</v>
      </c>
      <c r="AD4" s="97">
        <v>1186</v>
      </c>
      <c r="AE4" s="97">
        <f t="shared" si="3"/>
        <v>14620</v>
      </c>
      <c r="AF4" s="97">
        <f t="shared" ref="AF4:AF5" si="10">AB4*AD4</f>
        <v>23720</v>
      </c>
      <c r="AG4" s="97">
        <f t="shared" si="5"/>
        <v>9100</v>
      </c>
      <c r="AH4" s="97" t="str">
        <f t="shared" si="8"/>
        <v>profit</v>
      </c>
      <c r="AI4" s="100" t="b">
        <f t="shared" si="9"/>
        <v>0</v>
      </c>
      <c r="AN4" s="107">
        <v>122205</v>
      </c>
      <c r="AO4" s="105">
        <v>122206</v>
      </c>
      <c r="AR4" s="112" t="s">
        <v>342</v>
      </c>
      <c r="AS4" s="111">
        <v>122206</v>
      </c>
      <c r="AT4" s="97">
        <v>134129</v>
      </c>
      <c r="AU4" s="97">
        <v>128218</v>
      </c>
      <c r="AV4" s="97">
        <v>157616</v>
      </c>
      <c r="AW4" s="111">
        <v>193514</v>
      </c>
      <c r="AX4" s="97">
        <v>169766</v>
      </c>
      <c r="AY4" s="97">
        <v>140589</v>
      </c>
      <c r="AZ4" s="97">
        <v>144002</v>
      </c>
      <c r="BA4" s="111">
        <v>14726</v>
      </c>
      <c r="BB4" s="97">
        <v>112420</v>
      </c>
      <c r="BC4" s="97">
        <v>102720</v>
      </c>
      <c r="BD4" s="97">
        <v>186808</v>
      </c>
      <c r="BE4" s="111">
        <v>171769</v>
      </c>
      <c r="BF4" s="97">
        <v>135424</v>
      </c>
      <c r="BG4" s="97">
        <v>157602</v>
      </c>
      <c r="BH4" s="97">
        <v>100693</v>
      </c>
      <c r="BI4" s="97">
        <v>123762</v>
      </c>
      <c r="BJ4" s="97">
        <v>138091</v>
      </c>
      <c r="BK4" s="97">
        <v>177262</v>
      </c>
      <c r="BL4" s="97">
        <v>194006</v>
      </c>
    </row>
    <row r="5" spans="1:64" x14ac:dyDescent="0.3">
      <c r="A5" s="99">
        <v>45457</v>
      </c>
      <c r="B5" s="97" t="s">
        <v>119</v>
      </c>
      <c r="C5" s="19" t="s">
        <v>109</v>
      </c>
      <c r="D5" s="97" t="s">
        <v>110</v>
      </c>
      <c r="E5" s="97" t="s">
        <v>120</v>
      </c>
      <c r="F5" s="97" t="s">
        <v>112</v>
      </c>
      <c r="G5" s="97">
        <v>17</v>
      </c>
      <c r="H5" s="97">
        <v>750</v>
      </c>
      <c r="I5" s="97">
        <v>793</v>
      </c>
      <c r="J5" s="97">
        <f t="shared" si="0"/>
        <v>12750</v>
      </c>
      <c r="K5" s="97">
        <f t="shared" si="1"/>
        <v>13481</v>
      </c>
      <c r="L5" s="97">
        <f t="shared" si="2"/>
        <v>731</v>
      </c>
      <c r="M5" s="97" t="str">
        <f t="shared" si="6"/>
        <v>profit</v>
      </c>
      <c r="N5" s="100" t="b">
        <f t="shared" si="7"/>
        <v>0</v>
      </c>
      <c r="V5" s="99">
        <v>45457</v>
      </c>
      <c r="W5" s="97" t="s">
        <v>119</v>
      </c>
      <c r="X5" s="19" t="s">
        <v>109</v>
      </c>
      <c r="Y5" s="97" t="s">
        <v>110</v>
      </c>
      <c r="Z5" s="97" t="s">
        <v>120</v>
      </c>
      <c r="AA5" s="97" t="s">
        <v>112</v>
      </c>
      <c r="AB5" s="97">
        <v>17</v>
      </c>
      <c r="AC5" s="97">
        <v>750</v>
      </c>
      <c r="AD5" s="97">
        <v>793</v>
      </c>
      <c r="AE5" s="97">
        <f t="shared" si="3"/>
        <v>12750</v>
      </c>
      <c r="AF5" s="97">
        <f t="shared" si="10"/>
        <v>13481</v>
      </c>
      <c r="AG5" s="97">
        <f t="shared" si="5"/>
        <v>731</v>
      </c>
      <c r="AH5" s="97" t="str">
        <f t="shared" si="8"/>
        <v>profit</v>
      </c>
      <c r="AI5" s="100" t="b">
        <f t="shared" si="9"/>
        <v>0</v>
      </c>
      <c r="AN5" s="107">
        <v>134129</v>
      </c>
      <c r="AO5" s="106">
        <v>134129</v>
      </c>
    </row>
    <row r="6" spans="1:64" x14ac:dyDescent="0.3">
      <c r="A6" s="99">
        <v>45460</v>
      </c>
      <c r="B6" s="97" t="s">
        <v>124</v>
      </c>
      <c r="C6" s="19" t="s">
        <v>109</v>
      </c>
      <c r="D6" s="97" t="s">
        <v>110</v>
      </c>
      <c r="E6" s="97" t="s">
        <v>125</v>
      </c>
      <c r="F6" s="97" t="s">
        <v>123</v>
      </c>
      <c r="G6" s="97">
        <v>20</v>
      </c>
      <c r="H6" s="97">
        <v>699</v>
      </c>
      <c r="I6" s="97">
        <v>1400</v>
      </c>
      <c r="J6" s="97">
        <f t="shared" si="0"/>
        <v>13980</v>
      </c>
      <c r="K6" s="97">
        <f t="shared" si="1"/>
        <v>28000</v>
      </c>
      <c r="L6" s="97">
        <f t="shared" si="2"/>
        <v>14020</v>
      </c>
      <c r="M6" s="97" t="str">
        <f t="shared" si="6"/>
        <v>profit</v>
      </c>
      <c r="N6" s="100" t="b">
        <f t="shared" si="7"/>
        <v>0</v>
      </c>
      <c r="V6" s="99">
        <v>45510</v>
      </c>
      <c r="W6" s="97" t="s">
        <v>149</v>
      </c>
      <c r="X6" s="19" t="s">
        <v>109</v>
      </c>
      <c r="Y6" s="97" t="s">
        <v>131</v>
      </c>
      <c r="Z6" s="97" t="s">
        <v>137</v>
      </c>
      <c r="AA6" s="97" t="s">
        <v>112</v>
      </c>
      <c r="AB6" s="97">
        <v>10</v>
      </c>
      <c r="AC6" s="97">
        <v>754</v>
      </c>
      <c r="AD6" s="97">
        <v>982</v>
      </c>
      <c r="AE6" s="97">
        <f t="shared" si="3"/>
        <v>7540</v>
      </c>
      <c r="AF6" s="97">
        <f t="shared" ref="AF6:AF12" si="11">AB6*AD6</f>
        <v>9820</v>
      </c>
      <c r="AG6" s="97">
        <f t="shared" si="5"/>
        <v>2280</v>
      </c>
      <c r="AH6" s="97" t="str">
        <f t="shared" si="8"/>
        <v>profit</v>
      </c>
      <c r="AI6" s="100" t="b">
        <f t="shared" si="9"/>
        <v>0</v>
      </c>
      <c r="AN6" s="107">
        <v>128218</v>
      </c>
      <c r="AO6" s="106">
        <v>128218</v>
      </c>
    </row>
    <row r="7" spans="1:64" x14ac:dyDescent="0.3">
      <c r="A7" s="99">
        <v>45389</v>
      </c>
      <c r="B7" s="97" t="s">
        <v>126</v>
      </c>
      <c r="C7" s="19" t="s">
        <v>127</v>
      </c>
      <c r="D7" s="97" t="s">
        <v>128</v>
      </c>
      <c r="E7" s="97" t="s">
        <v>129</v>
      </c>
      <c r="F7" s="97" t="s">
        <v>123</v>
      </c>
      <c r="G7" s="97">
        <v>55</v>
      </c>
      <c r="H7" s="97">
        <v>637</v>
      </c>
      <c r="I7" s="97">
        <v>1143</v>
      </c>
      <c r="J7" s="97">
        <f t="shared" si="0"/>
        <v>35035</v>
      </c>
      <c r="K7" s="97">
        <f t="shared" si="1"/>
        <v>62865</v>
      </c>
      <c r="L7" s="97">
        <f t="shared" si="2"/>
        <v>27830</v>
      </c>
      <c r="M7" s="97" t="str">
        <f t="shared" si="6"/>
        <v>profit</v>
      </c>
      <c r="N7" s="100" t="b">
        <f t="shared" si="7"/>
        <v>1</v>
      </c>
      <c r="V7" s="99">
        <v>45405</v>
      </c>
      <c r="W7" s="97" t="s">
        <v>153</v>
      </c>
      <c r="X7" s="19" t="s">
        <v>139</v>
      </c>
      <c r="Y7" s="97" t="s">
        <v>154</v>
      </c>
      <c r="Z7" s="97" t="s">
        <v>155</v>
      </c>
      <c r="AA7" s="97" t="s">
        <v>123</v>
      </c>
      <c r="AB7" s="97">
        <v>25</v>
      </c>
      <c r="AC7" s="97">
        <v>958</v>
      </c>
      <c r="AD7" s="97">
        <v>942</v>
      </c>
      <c r="AE7" s="97">
        <f t="shared" si="3"/>
        <v>23950</v>
      </c>
      <c r="AF7" s="97">
        <f t="shared" si="11"/>
        <v>23550</v>
      </c>
      <c r="AG7" s="97">
        <f t="shared" si="5"/>
        <v>-400</v>
      </c>
      <c r="AH7" s="97" t="str">
        <f t="shared" si="8"/>
        <v>loss</v>
      </c>
      <c r="AI7" s="100" t="b">
        <f t="shared" si="9"/>
        <v>0</v>
      </c>
      <c r="AN7" s="107">
        <v>157616</v>
      </c>
      <c r="AO7" s="106">
        <v>157616</v>
      </c>
    </row>
    <row r="8" spans="1:64" x14ac:dyDescent="0.3">
      <c r="A8" s="99">
        <v>45472</v>
      </c>
      <c r="B8" s="97" t="s">
        <v>130</v>
      </c>
      <c r="C8" s="19" t="s">
        <v>109</v>
      </c>
      <c r="D8" s="97" t="s">
        <v>131</v>
      </c>
      <c r="E8" s="97" t="s">
        <v>129</v>
      </c>
      <c r="F8" s="97" t="s">
        <v>112</v>
      </c>
      <c r="G8" s="97">
        <v>17</v>
      </c>
      <c r="H8" s="97">
        <v>537</v>
      </c>
      <c r="I8" s="97">
        <v>1350</v>
      </c>
      <c r="J8" s="97">
        <f t="shared" si="0"/>
        <v>9129</v>
      </c>
      <c r="K8" s="101" t="s">
        <v>340</v>
      </c>
      <c r="L8" s="97" t="e">
        <f t="shared" si="2"/>
        <v>#VALUE!</v>
      </c>
      <c r="M8" s="97" t="e">
        <f t="shared" si="6"/>
        <v>#VALUE!</v>
      </c>
      <c r="N8" s="100" t="e">
        <f t="shared" si="7"/>
        <v>#VALUE!</v>
      </c>
      <c r="V8" s="99">
        <v>45515</v>
      </c>
      <c r="W8" s="97" t="s">
        <v>158</v>
      </c>
      <c r="X8" s="19" t="s">
        <v>109</v>
      </c>
      <c r="Y8" s="97" t="s">
        <v>131</v>
      </c>
      <c r="Z8" s="97" t="s">
        <v>137</v>
      </c>
      <c r="AA8" s="97" t="s">
        <v>123</v>
      </c>
      <c r="AB8" s="97">
        <v>10</v>
      </c>
      <c r="AC8" s="97">
        <v>669</v>
      </c>
      <c r="AD8" s="97">
        <v>1344</v>
      </c>
      <c r="AE8" s="97">
        <f t="shared" si="3"/>
        <v>6690</v>
      </c>
      <c r="AF8" s="97">
        <f t="shared" si="11"/>
        <v>13440</v>
      </c>
      <c r="AG8" s="97">
        <f t="shared" si="5"/>
        <v>6750</v>
      </c>
      <c r="AH8" s="97" t="str">
        <f t="shared" si="8"/>
        <v>profit</v>
      </c>
      <c r="AI8" s="100" t="b">
        <f t="shared" si="9"/>
        <v>0</v>
      </c>
      <c r="AN8" s="107">
        <v>193517</v>
      </c>
      <c r="AO8" s="105">
        <v>193514</v>
      </c>
    </row>
    <row r="9" spans="1:64" x14ac:dyDescent="0.3">
      <c r="A9" s="99">
        <v>45473</v>
      </c>
      <c r="B9" s="97" t="s">
        <v>132</v>
      </c>
      <c r="C9" s="19" t="s">
        <v>109</v>
      </c>
      <c r="D9" s="97" t="s">
        <v>131</v>
      </c>
      <c r="E9" s="97" t="s">
        <v>133</v>
      </c>
      <c r="F9" s="97" t="s">
        <v>112</v>
      </c>
      <c r="G9" s="97">
        <v>20</v>
      </c>
      <c r="H9" s="97">
        <v>875</v>
      </c>
      <c r="I9" s="97">
        <v>911</v>
      </c>
      <c r="J9" s="97">
        <f t="shared" si="0"/>
        <v>17500</v>
      </c>
      <c r="K9" s="97">
        <f t="shared" si="1"/>
        <v>18220</v>
      </c>
      <c r="L9" s="97">
        <f t="shared" si="2"/>
        <v>720</v>
      </c>
      <c r="M9" s="97" t="str">
        <f t="shared" si="6"/>
        <v>profit</v>
      </c>
      <c r="N9" s="100" t="b">
        <f t="shared" si="7"/>
        <v>0</v>
      </c>
      <c r="V9" s="99">
        <v>45544</v>
      </c>
      <c r="W9" s="97" t="s">
        <v>162</v>
      </c>
      <c r="X9" s="19" t="s">
        <v>109</v>
      </c>
      <c r="Y9" s="97" t="s">
        <v>131</v>
      </c>
      <c r="Z9" s="97" t="s">
        <v>137</v>
      </c>
      <c r="AA9" s="97" t="s">
        <v>123</v>
      </c>
      <c r="AB9" s="97">
        <v>15</v>
      </c>
      <c r="AC9" s="97">
        <v>890</v>
      </c>
      <c r="AD9" s="97">
        <v>1362</v>
      </c>
      <c r="AE9" s="97">
        <f t="shared" si="3"/>
        <v>13350</v>
      </c>
      <c r="AF9" s="97">
        <f t="shared" si="11"/>
        <v>20430</v>
      </c>
      <c r="AG9" s="97">
        <f t="shared" si="5"/>
        <v>7080</v>
      </c>
      <c r="AH9" s="97" t="str">
        <f t="shared" si="8"/>
        <v>profit</v>
      </c>
      <c r="AI9" s="100" t="b">
        <f t="shared" si="9"/>
        <v>0</v>
      </c>
      <c r="AN9" s="107">
        <v>169766</v>
      </c>
      <c r="AO9" s="106">
        <v>169766</v>
      </c>
    </row>
    <row r="10" spans="1:64" x14ac:dyDescent="0.3">
      <c r="A10" s="99">
        <v>45474</v>
      </c>
      <c r="B10" s="97" t="s">
        <v>134</v>
      </c>
      <c r="C10" s="19" t="s">
        <v>109</v>
      </c>
      <c r="D10" s="97" t="s">
        <v>131</v>
      </c>
      <c r="E10" s="97" t="s">
        <v>133</v>
      </c>
      <c r="F10" s="97" t="s">
        <v>112</v>
      </c>
      <c r="G10" s="97">
        <v>13</v>
      </c>
      <c r="H10" s="97">
        <v>917</v>
      </c>
      <c r="I10" s="97">
        <v>1315</v>
      </c>
      <c r="J10" s="97">
        <f t="shared" si="0"/>
        <v>11921</v>
      </c>
      <c r="K10" s="97">
        <f t="shared" si="1"/>
        <v>17095</v>
      </c>
      <c r="L10" s="97">
        <f t="shared" si="2"/>
        <v>5174</v>
      </c>
      <c r="M10" s="97" t="str">
        <f t="shared" si="6"/>
        <v>profit</v>
      </c>
      <c r="N10" s="100" t="b">
        <f t="shared" si="7"/>
        <v>0</v>
      </c>
      <c r="V10" s="99">
        <v>45547</v>
      </c>
      <c r="W10" s="97" t="s">
        <v>165</v>
      </c>
      <c r="X10" s="19" t="s">
        <v>109</v>
      </c>
      <c r="Y10" s="97" t="s">
        <v>131</v>
      </c>
      <c r="Z10" s="97" t="s">
        <v>166</v>
      </c>
      <c r="AA10" s="97" t="s">
        <v>112</v>
      </c>
      <c r="AB10" s="97">
        <v>19</v>
      </c>
      <c r="AC10" s="97">
        <v>653</v>
      </c>
      <c r="AD10" s="97">
        <v>1402</v>
      </c>
      <c r="AE10" s="97">
        <f t="shared" si="3"/>
        <v>12407</v>
      </c>
      <c r="AF10" s="97">
        <f t="shared" si="11"/>
        <v>26638</v>
      </c>
      <c r="AG10" s="97">
        <f t="shared" si="5"/>
        <v>14231</v>
      </c>
      <c r="AH10" s="97" t="str">
        <f t="shared" si="8"/>
        <v>profit</v>
      </c>
      <c r="AI10" s="100" t="b">
        <f t="shared" si="9"/>
        <v>0</v>
      </c>
      <c r="AN10" s="107">
        <v>140589</v>
      </c>
      <c r="AO10" s="106">
        <v>140589</v>
      </c>
      <c r="AS10">
        <v>20</v>
      </c>
      <c r="AT10">
        <v>21</v>
      </c>
      <c r="AU10">
        <f>AS10*AT10</f>
        <v>420</v>
      </c>
    </row>
    <row r="11" spans="1:64" x14ac:dyDescent="0.3">
      <c r="A11" s="99">
        <v>45476</v>
      </c>
      <c r="B11" s="97" t="s">
        <v>135</v>
      </c>
      <c r="C11" s="19" t="s">
        <v>109</v>
      </c>
      <c r="D11" s="97" t="s">
        <v>131</v>
      </c>
      <c r="E11" s="97" t="s">
        <v>122</v>
      </c>
      <c r="F11" s="97" t="s">
        <v>112</v>
      </c>
      <c r="G11" s="97">
        <v>12</v>
      </c>
      <c r="H11" s="97">
        <v>980</v>
      </c>
      <c r="I11" s="97">
        <v>1462</v>
      </c>
      <c r="J11" s="97">
        <f t="shared" si="0"/>
        <v>11760</v>
      </c>
      <c r="K11" s="97">
        <f t="shared" si="1"/>
        <v>17544</v>
      </c>
      <c r="L11" s="97">
        <f t="shared" si="2"/>
        <v>5784</v>
      </c>
      <c r="M11" s="97" t="str">
        <f t="shared" si="6"/>
        <v>profit</v>
      </c>
      <c r="N11" s="100" t="b">
        <f t="shared" si="7"/>
        <v>0</v>
      </c>
      <c r="V11" s="99">
        <v>45551</v>
      </c>
      <c r="W11" s="97" t="s">
        <v>170</v>
      </c>
      <c r="X11" s="19" t="s">
        <v>109</v>
      </c>
      <c r="Y11" s="97" t="s">
        <v>131</v>
      </c>
      <c r="Z11" s="97" t="s">
        <v>151</v>
      </c>
      <c r="AA11" s="97" t="s">
        <v>112</v>
      </c>
      <c r="AB11" s="97">
        <v>12</v>
      </c>
      <c r="AC11" s="97">
        <v>539</v>
      </c>
      <c r="AD11" s="97">
        <v>1136</v>
      </c>
      <c r="AE11" s="97">
        <f t="shared" si="3"/>
        <v>6468</v>
      </c>
      <c r="AF11" s="97">
        <f t="shared" si="11"/>
        <v>13632</v>
      </c>
      <c r="AG11" s="97">
        <f t="shared" si="5"/>
        <v>7164</v>
      </c>
      <c r="AH11" s="97" t="str">
        <f t="shared" si="8"/>
        <v>profit</v>
      </c>
      <c r="AI11" s="100" t="b">
        <f t="shared" si="9"/>
        <v>0</v>
      </c>
      <c r="AN11" s="107">
        <v>144002</v>
      </c>
      <c r="AO11" s="106">
        <v>144002</v>
      </c>
    </row>
    <row r="12" spans="1:64" x14ac:dyDescent="0.3">
      <c r="A12" s="99">
        <v>45477</v>
      </c>
      <c r="B12" s="97" t="s">
        <v>136</v>
      </c>
      <c r="C12" s="19" t="s">
        <v>109</v>
      </c>
      <c r="D12" s="97" t="s">
        <v>131</v>
      </c>
      <c r="E12" s="97" t="s">
        <v>137</v>
      </c>
      <c r="F12" s="97" t="s">
        <v>112</v>
      </c>
      <c r="G12" s="97">
        <v>12</v>
      </c>
      <c r="H12" s="97">
        <v>734</v>
      </c>
      <c r="I12" s="97">
        <v>1181</v>
      </c>
      <c r="J12" s="97">
        <f t="shared" si="0"/>
        <v>8808</v>
      </c>
      <c r="K12" s="97">
        <f t="shared" si="1"/>
        <v>14172</v>
      </c>
      <c r="L12" s="97">
        <f t="shared" si="2"/>
        <v>5364</v>
      </c>
      <c r="M12" s="97" t="str">
        <f t="shared" si="6"/>
        <v>profit</v>
      </c>
      <c r="N12" s="100" t="b">
        <f t="shared" si="7"/>
        <v>0</v>
      </c>
      <c r="V12" s="99">
        <v>45552</v>
      </c>
      <c r="W12" s="97" t="s">
        <v>171</v>
      </c>
      <c r="X12" s="19" t="s">
        <v>109</v>
      </c>
      <c r="Y12" s="97" t="s">
        <v>131</v>
      </c>
      <c r="Z12" s="97" t="s">
        <v>129</v>
      </c>
      <c r="AA12" s="97" t="s">
        <v>112</v>
      </c>
      <c r="AB12" s="97">
        <v>10</v>
      </c>
      <c r="AC12" s="97">
        <v>731</v>
      </c>
      <c r="AD12" s="97">
        <v>1226</v>
      </c>
      <c r="AE12" s="97">
        <f t="shared" si="3"/>
        <v>7310</v>
      </c>
      <c r="AF12" s="97">
        <f t="shared" si="11"/>
        <v>12260</v>
      </c>
      <c r="AG12" s="97">
        <f t="shared" si="5"/>
        <v>4950</v>
      </c>
      <c r="AH12" s="97" t="str">
        <f t="shared" si="8"/>
        <v>profit</v>
      </c>
      <c r="AI12" s="100" t="b">
        <f t="shared" si="9"/>
        <v>0</v>
      </c>
      <c r="AN12" s="107">
        <v>141726</v>
      </c>
      <c r="AO12" s="105">
        <v>14726</v>
      </c>
    </row>
    <row r="13" spans="1:64" x14ac:dyDescent="0.3">
      <c r="A13" s="99">
        <v>45395</v>
      </c>
      <c r="B13" s="97" t="s">
        <v>138</v>
      </c>
      <c r="C13" s="19" t="s">
        <v>139</v>
      </c>
      <c r="D13" s="97" t="s">
        <v>140</v>
      </c>
      <c r="E13" s="97" t="s">
        <v>137</v>
      </c>
      <c r="F13" s="97" t="s">
        <v>112</v>
      </c>
      <c r="G13" s="97">
        <v>29</v>
      </c>
      <c r="H13" s="97">
        <v>951</v>
      </c>
      <c r="I13" s="97">
        <v>1268</v>
      </c>
      <c r="J13" s="97">
        <f t="shared" si="0"/>
        <v>27579</v>
      </c>
      <c r="K13" s="97">
        <f t="shared" si="1"/>
        <v>36772</v>
      </c>
      <c r="L13" s="97">
        <f t="shared" si="2"/>
        <v>9193</v>
      </c>
      <c r="M13" s="97" t="str">
        <f t="shared" si="6"/>
        <v>profit</v>
      </c>
      <c r="N13" s="100" t="b">
        <f t="shared" si="7"/>
        <v>1</v>
      </c>
      <c r="V13" s="99">
        <v>45564</v>
      </c>
      <c r="W13" s="97" t="s">
        <v>174</v>
      </c>
      <c r="X13" s="19" t="s">
        <v>109</v>
      </c>
      <c r="Y13" s="97" t="s">
        <v>110</v>
      </c>
      <c r="Z13" s="97" t="s">
        <v>133</v>
      </c>
      <c r="AA13" s="97" t="s">
        <v>112</v>
      </c>
      <c r="AB13" s="97">
        <v>10</v>
      </c>
      <c r="AC13" s="97">
        <v>917</v>
      </c>
      <c r="AD13" s="97">
        <v>1107</v>
      </c>
      <c r="AE13" s="97">
        <f t="shared" ref="AE13:AE18" si="12">AB13*AC13</f>
        <v>9170</v>
      </c>
      <c r="AF13" s="97">
        <f t="shared" ref="AF13:AF19" si="13">AB13*AD13</f>
        <v>11070</v>
      </c>
      <c r="AG13" s="97">
        <f t="shared" ref="AG13:AG18" si="14">AF13-AE13</f>
        <v>1900</v>
      </c>
      <c r="AH13" s="97" t="str">
        <f t="shared" ref="AH13:AH19" si="15">IF(AG13&gt;0,"profit","loss")</f>
        <v>profit</v>
      </c>
      <c r="AI13" s="100" t="b">
        <f t="shared" ref="AI13:AI19" si="16">AND(AG13&gt;0,AE13&gt;20000)</f>
        <v>0</v>
      </c>
      <c r="AN13" s="107">
        <v>112420</v>
      </c>
      <c r="AO13" s="106">
        <v>112420</v>
      </c>
    </row>
    <row r="14" spans="1:64" x14ac:dyDescent="0.3">
      <c r="A14" s="99">
        <v>45478</v>
      </c>
      <c r="B14" s="97" t="s">
        <v>141</v>
      </c>
      <c r="C14" s="19" t="s">
        <v>109</v>
      </c>
      <c r="D14" s="97" t="s">
        <v>131</v>
      </c>
      <c r="E14" s="97" t="s">
        <v>142</v>
      </c>
      <c r="F14" s="97" t="s">
        <v>112</v>
      </c>
      <c r="G14" s="97">
        <v>12</v>
      </c>
      <c r="H14" s="97">
        <v>913</v>
      </c>
      <c r="I14" s="97">
        <v>1170</v>
      </c>
      <c r="J14" s="97">
        <f t="shared" si="0"/>
        <v>10956</v>
      </c>
      <c r="K14" s="97">
        <f t="shared" si="1"/>
        <v>14040</v>
      </c>
      <c r="L14" s="97">
        <f t="shared" si="2"/>
        <v>3084</v>
      </c>
      <c r="M14" s="97" t="str">
        <f t="shared" si="6"/>
        <v>profit</v>
      </c>
      <c r="N14" s="100" t="b">
        <f t="shared" si="7"/>
        <v>0</v>
      </c>
      <c r="V14" s="99">
        <v>45584</v>
      </c>
      <c r="W14" s="97" t="s">
        <v>181</v>
      </c>
      <c r="X14" s="19" t="s">
        <v>109</v>
      </c>
      <c r="Y14" s="97" t="s">
        <v>131</v>
      </c>
      <c r="Z14" s="97" t="s">
        <v>129</v>
      </c>
      <c r="AA14" s="97" t="s">
        <v>112</v>
      </c>
      <c r="AB14" s="97">
        <v>15</v>
      </c>
      <c r="AC14" s="97">
        <v>662</v>
      </c>
      <c r="AD14" s="97">
        <v>1183</v>
      </c>
      <c r="AE14" s="97">
        <f t="shared" si="12"/>
        <v>9930</v>
      </c>
      <c r="AF14" s="97">
        <f t="shared" si="13"/>
        <v>17745</v>
      </c>
      <c r="AG14" s="97">
        <f t="shared" si="14"/>
        <v>7815</v>
      </c>
      <c r="AH14" s="97" t="str">
        <f t="shared" si="15"/>
        <v>profit</v>
      </c>
      <c r="AI14" s="100" t="b">
        <f t="shared" si="16"/>
        <v>0</v>
      </c>
      <c r="AN14" s="107">
        <v>102720</v>
      </c>
      <c r="AO14" s="106">
        <v>102720</v>
      </c>
    </row>
    <row r="15" spans="1:64" x14ac:dyDescent="0.3">
      <c r="A15" s="99">
        <v>45479</v>
      </c>
      <c r="B15" s="97" t="s">
        <v>143</v>
      </c>
      <c r="C15" s="19" t="s">
        <v>109</v>
      </c>
      <c r="D15" s="97" t="s">
        <v>131</v>
      </c>
      <c r="E15" s="97" t="s">
        <v>122</v>
      </c>
      <c r="F15" s="97" t="s">
        <v>123</v>
      </c>
      <c r="G15" s="97">
        <v>20</v>
      </c>
      <c r="H15" s="97">
        <v>833</v>
      </c>
      <c r="I15" s="97">
        <v>877</v>
      </c>
      <c r="J15" s="97">
        <f t="shared" si="0"/>
        <v>16660</v>
      </c>
      <c r="K15" s="97">
        <f t="shared" si="1"/>
        <v>17540</v>
      </c>
      <c r="L15" s="97">
        <f t="shared" si="2"/>
        <v>880</v>
      </c>
      <c r="M15" s="97" t="str">
        <f t="shared" si="6"/>
        <v>profit</v>
      </c>
      <c r="N15" s="100" t="b">
        <f t="shared" si="7"/>
        <v>0</v>
      </c>
      <c r="V15" s="99">
        <v>45663</v>
      </c>
      <c r="W15" s="97" t="s">
        <v>188</v>
      </c>
      <c r="X15" s="19" t="s">
        <v>109</v>
      </c>
      <c r="Y15" s="97" t="s">
        <v>110</v>
      </c>
      <c r="Z15" s="97" t="s">
        <v>115</v>
      </c>
      <c r="AA15" s="97" t="s">
        <v>112</v>
      </c>
      <c r="AB15" s="97">
        <v>10</v>
      </c>
      <c r="AC15" s="97">
        <v>774</v>
      </c>
      <c r="AD15" s="97">
        <v>1472</v>
      </c>
      <c r="AE15" s="97">
        <f t="shared" si="12"/>
        <v>7740</v>
      </c>
      <c r="AF15" s="97">
        <f t="shared" si="13"/>
        <v>14720</v>
      </c>
      <c r="AG15" s="97">
        <f t="shared" si="14"/>
        <v>6980</v>
      </c>
      <c r="AH15" s="97" t="str">
        <f t="shared" si="15"/>
        <v>profit</v>
      </c>
      <c r="AI15" s="100" t="b">
        <f t="shared" si="16"/>
        <v>0</v>
      </c>
      <c r="AN15" s="107">
        <v>186808</v>
      </c>
      <c r="AO15" s="106">
        <v>186808</v>
      </c>
    </row>
    <row r="16" spans="1:64" x14ac:dyDescent="0.3">
      <c r="A16" s="99">
        <v>45480</v>
      </c>
      <c r="B16" s="97" t="s">
        <v>144</v>
      </c>
      <c r="C16" s="19" t="s">
        <v>109</v>
      </c>
      <c r="D16" s="97" t="s">
        <v>131</v>
      </c>
      <c r="E16" s="97" t="s">
        <v>145</v>
      </c>
      <c r="F16" s="97" t="s">
        <v>123</v>
      </c>
      <c r="G16" s="97">
        <v>17</v>
      </c>
      <c r="H16" s="97">
        <v>748</v>
      </c>
      <c r="I16" s="97">
        <v>1138</v>
      </c>
      <c r="J16" s="97">
        <f t="shared" si="0"/>
        <v>12716</v>
      </c>
      <c r="K16" s="97">
        <f t="shared" si="1"/>
        <v>19346</v>
      </c>
      <c r="L16" s="97">
        <f t="shared" si="2"/>
        <v>6630</v>
      </c>
      <c r="M16" s="97" t="str">
        <f t="shared" si="6"/>
        <v>profit</v>
      </c>
      <c r="N16" s="100" t="b">
        <f t="shared" si="7"/>
        <v>0</v>
      </c>
      <c r="V16" s="99">
        <v>45665</v>
      </c>
      <c r="W16" s="97" t="s">
        <v>189</v>
      </c>
      <c r="X16" s="19" t="s">
        <v>109</v>
      </c>
      <c r="Y16" s="97" t="s">
        <v>110</v>
      </c>
      <c r="Z16" s="97" t="s">
        <v>120</v>
      </c>
      <c r="AA16" s="97" t="s">
        <v>123</v>
      </c>
      <c r="AB16" s="97">
        <v>11</v>
      </c>
      <c r="AC16" s="97">
        <v>986</v>
      </c>
      <c r="AD16" s="97">
        <v>1228</v>
      </c>
      <c r="AE16" s="97">
        <f t="shared" si="12"/>
        <v>10846</v>
      </c>
      <c r="AF16" s="97">
        <f t="shared" si="13"/>
        <v>13508</v>
      </c>
      <c r="AG16" s="97">
        <f t="shared" si="14"/>
        <v>2662</v>
      </c>
      <c r="AH16" s="97" t="str">
        <f t="shared" si="15"/>
        <v>profit</v>
      </c>
      <c r="AI16" s="100" t="b">
        <f t="shared" si="16"/>
        <v>0</v>
      </c>
      <c r="AN16" s="107">
        <v>141796</v>
      </c>
      <c r="AO16" s="105">
        <v>171769</v>
      </c>
    </row>
    <row r="17" spans="1:41" x14ac:dyDescent="0.3">
      <c r="A17" s="99">
        <v>45481</v>
      </c>
      <c r="B17" s="97" t="s">
        <v>83</v>
      </c>
      <c r="C17" s="19" t="s">
        <v>109</v>
      </c>
      <c r="D17" s="97" t="s">
        <v>131</v>
      </c>
      <c r="E17" s="97" t="s">
        <v>146</v>
      </c>
      <c r="F17" s="97" t="s">
        <v>123</v>
      </c>
      <c r="G17" s="97">
        <v>20</v>
      </c>
      <c r="H17" s="97">
        <v>517</v>
      </c>
      <c r="I17" s="97">
        <v>1405</v>
      </c>
      <c r="J17" s="97">
        <f t="shared" si="0"/>
        <v>10340</v>
      </c>
      <c r="K17" s="97">
        <f t="shared" si="1"/>
        <v>28100</v>
      </c>
      <c r="L17" s="97">
        <f t="shared" si="2"/>
        <v>17760</v>
      </c>
      <c r="M17" s="97" t="str">
        <f t="shared" si="6"/>
        <v>profit</v>
      </c>
      <c r="N17" s="100" t="b">
        <f t="shared" si="7"/>
        <v>0</v>
      </c>
      <c r="V17" s="99">
        <v>45686</v>
      </c>
      <c r="W17" s="97" t="s">
        <v>198</v>
      </c>
      <c r="X17" s="19" t="s">
        <v>109</v>
      </c>
      <c r="Y17" s="97" t="s">
        <v>131</v>
      </c>
      <c r="Z17" s="97" t="s">
        <v>133</v>
      </c>
      <c r="AA17" s="97" t="s">
        <v>123</v>
      </c>
      <c r="AB17" s="97">
        <v>13</v>
      </c>
      <c r="AC17" s="97">
        <v>615</v>
      </c>
      <c r="AD17" s="97">
        <v>1010</v>
      </c>
      <c r="AE17" s="97">
        <f t="shared" si="12"/>
        <v>7995</v>
      </c>
      <c r="AF17" s="97">
        <f t="shared" si="13"/>
        <v>13130</v>
      </c>
      <c r="AG17" s="97">
        <f t="shared" si="14"/>
        <v>5135</v>
      </c>
      <c r="AH17" s="97" t="str">
        <f t="shared" si="15"/>
        <v>profit</v>
      </c>
      <c r="AI17" s="100" t="b">
        <f t="shared" si="16"/>
        <v>0</v>
      </c>
      <c r="AN17" s="107">
        <v>135424</v>
      </c>
      <c r="AO17" s="106">
        <v>135424</v>
      </c>
    </row>
    <row r="18" spans="1:41" x14ac:dyDescent="0.3">
      <c r="A18" s="99">
        <v>45482</v>
      </c>
      <c r="B18" s="97" t="s">
        <v>147</v>
      </c>
      <c r="C18" s="19" t="s">
        <v>109</v>
      </c>
      <c r="D18" s="97" t="s">
        <v>131</v>
      </c>
      <c r="E18" s="97" t="s">
        <v>129</v>
      </c>
      <c r="F18" s="97" t="s">
        <v>123</v>
      </c>
      <c r="G18" s="97">
        <v>18</v>
      </c>
      <c r="H18" s="97">
        <v>674</v>
      </c>
      <c r="I18" s="97">
        <v>775</v>
      </c>
      <c r="J18" s="97">
        <f t="shared" si="0"/>
        <v>12132</v>
      </c>
      <c r="K18" s="97">
        <f t="shared" si="1"/>
        <v>13950</v>
      </c>
      <c r="L18" s="97">
        <f t="shared" si="2"/>
        <v>1818</v>
      </c>
      <c r="M18" s="97" t="str">
        <f t="shared" si="6"/>
        <v>profit</v>
      </c>
      <c r="N18" s="100" t="b">
        <f t="shared" si="7"/>
        <v>0</v>
      </c>
      <c r="V18" s="99">
        <v>45456</v>
      </c>
      <c r="W18" s="97" t="s">
        <v>117</v>
      </c>
      <c r="X18" s="19" t="s">
        <v>109</v>
      </c>
      <c r="Y18" s="97" t="s">
        <v>110</v>
      </c>
      <c r="Z18" s="97" t="s">
        <v>118</v>
      </c>
      <c r="AA18" s="97" t="s">
        <v>112</v>
      </c>
      <c r="AB18" s="97">
        <v>19</v>
      </c>
      <c r="AC18" s="97">
        <v>982</v>
      </c>
      <c r="AD18" s="97">
        <v>1457</v>
      </c>
      <c r="AE18" s="97">
        <f t="shared" si="12"/>
        <v>18658</v>
      </c>
      <c r="AF18" s="97">
        <f t="shared" si="13"/>
        <v>27683</v>
      </c>
      <c r="AG18" s="97">
        <f t="shared" si="14"/>
        <v>9025</v>
      </c>
      <c r="AH18" s="97" t="str">
        <f t="shared" si="15"/>
        <v>profit</v>
      </c>
      <c r="AI18" s="100" t="b">
        <f t="shared" si="16"/>
        <v>0</v>
      </c>
      <c r="AN18" s="107">
        <v>157602</v>
      </c>
      <c r="AO18" s="106">
        <v>157602</v>
      </c>
    </row>
    <row r="19" spans="1:41" x14ac:dyDescent="0.3">
      <c r="A19" s="99">
        <v>45483</v>
      </c>
      <c r="B19" s="97" t="s">
        <v>148</v>
      </c>
      <c r="C19" s="19" t="s">
        <v>109</v>
      </c>
      <c r="D19" s="97" t="s">
        <v>131</v>
      </c>
      <c r="E19" s="97" t="s">
        <v>133</v>
      </c>
      <c r="F19" s="97" t="s">
        <v>112</v>
      </c>
      <c r="G19" s="97">
        <v>17</v>
      </c>
      <c r="H19" s="97">
        <v>641</v>
      </c>
      <c r="I19" s="97">
        <v>765</v>
      </c>
      <c r="J19" s="97">
        <f t="shared" si="0"/>
        <v>10897</v>
      </c>
      <c r="K19" s="97">
        <f t="shared" si="1"/>
        <v>13005</v>
      </c>
      <c r="L19" s="97">
        <f t="shared" si="2"/>
        <v>2108</v>
      </c>
      <c r="M19" s="97" t="str">
        <f t="shared" si="6"/>
        <v>profit</v>
      </c>
      <c r="N19" s="100" t="b">
        <f t="shared" si="7"/>
        <v>0</v>
      </c>
      <c r="V19" s="99">
        <v>45457</v>
      </c>
      <c r="W19" s="97" t="s">
        <v>119</v>
      </c>
      <c r="X19" s="19" t="s">
        <v>109</v>
      </c>
      <c r="Y19" s="97" t="s">
        <v>110</v>
      </c>
      <c r="Z19" s="97" t="s">
        <v>120</v>
      </c>
      <c r="AA19" s="97" t="s">
        <v>112</v>
      </c>
      <c r="AB19" s="97">
        <v>19</v>
      </c>
      <c r="AC19" s="97">
        <v>918</v>
      </c>
      <c r="AD19" s="97">
        <v>864</v>
      </c>
      <c r="AE19" s="97">
        <f t="shared" ref="AE19:AE38" si="17">AB19*AC19</f>
        <v>17442</v>
      </c>
      <c r="AF19" s="97">
        <f t="shared" si="13"/>
        <v>16416</v>
      </c>
      <c r="AG19" s="97">
        <f t="shared" ref="AG19:AG38" si="18">AF19-AE19</f>
        <v>-1026</v>
      </c>
      <c r="AH19" s="97" t="str">
        <f t="shared" si="15"/>
        <v>loss</v>
      </c>
      <c r="AI19" s="100" t="b">
        <f t="shared" si="16"/>
        <v>0</v>
      </c>
      <c r="AN19" s="107">
        <v>100693</v>
      </c>
      <c r="AO19" s="106">
        <v>100693</v>
      </c>
    </row>
    <row r="20" spans="1:41" x14ac:dyDescent="0.3">
      <c r="A20" s="99">
        <v>45510</v>
      </c>
      <c r="B20" s="97" t="s">
        <v>149</v>
      </c>
      <c r="C20" s="19" t="s">
        <v>109</v>
      </c>
      <c r="D20" s="97" t="s">
        <v>131</v>
      </c>
      <c r="E20" s="97" t="s">
        <v>137</v>
      </c>
      <c r="F20" s="97" t="s">
        <v>112</v>
      </c>
      <c r="G20" s="97">
        <v>10</v>
      </c>
      <c r="H20" s="97">
        <v>754</v>
      </c>
      <c r="I20" s="97">
        <v>982</v>
      </c>
      <c r="J20" s="97">
        <f t="shared" si="0"/>
        <v>7540</v>
      </c>
      <c r="K20" s="97">
        <f t="shared" si="1"/>
        <v>9820</v>
      </c>
      <c r="L20" s="97">
        <f t="shared" si="2"/>
        <v>2280</v>
      </c>
      <c r="M20" s="97" t="str">
        <f t="shared" si="6"/>
        <v>profit</v>
      </c>
      <c r="N20" s="100" t="b">
        <f t="shared" si="7"/>
        <v>0</v>
      </c>
      <c r="V20" s="99">
        <v>45477</v>
      </c>
      <c r="W20" s="97" t="s">
        <v>136</v>
      </c>
      <c r="X20" s="19" t="s">
        <v>109</v>
      </c>
      <c r="Y20" s="97" t="s">
        <v>131</v>
      </c>
      <c r="Z20" s="97" t="s">
        <v>137</v>
      </c>
      <c r="AA20" s="97" t="s">
        <v>112</v>
      </c>
      <c r="AB20" s="97">
        <v>14</v>
      </c>
      <c r="AC20" s="97">
        <v>965</v>
      </c>
      <c r="AD20" s="97">
        <v>1212</v>
      </c>
      <c r="AE20" s="97">
        <f t="shared" si="17"/>
        <v>13510</v>
      </c>
      <c r="AF20" s="97">
        <f t="shared" ref="AF20:AF21" si="19">AB20*AD20</f>
        <v>16968</v>
      </c>
      <c r="AG20" s="97">
        <f t="shared" si="18"/>
        <v>3458</v>
      </c>
      <c r="AH20" s="97" t="str">
        <f t="shared" ref="AH20:AH38" si="20">IF(AG20&gt;0,"profit","loss")</f>
        <v>profit</v>
      </c>
      <c r="AI20" s="100" t="b">
        <f t="shared" ref="AI20:AI38" si="21">AND(AG20&gt;0,AE20&gt;20000)</f>
        <v>0</v>
      </c>
      <c r="AN20" s="107">
        <v>123762</v>
      </c>
      <c r="AO20" s="106">
        <v>123762</v>
      </c>
    </row>
    <row r="21" spans="1:41" x14ac:dyDescent="0.3">
      <c r="A21" s="99">
        <v>45511</v>
      </c>
      <c r="B21" s="97" t="s">
        <v>150</v>
      </c>
      <c r="C21" s="19" t="s">
        <v>109</v>
      </c>
      <c r="D21" s="97" t="s">
        <v>131</v>
      </c>
      <c r="E21" s="97" t="s">
        <v>151</v>
      </c>
      <c r="F21" s="97" t="s">
        <v>112</v>
      </c>
      <c r="G21" s="97">
        <v>14</v>
      </c>
      <c r="H21" s="97">
        <v>815</v>
      </c>
      <c r="I21" s="97">
        <v>1341</v>
      </c>
      <c r="J21" s="97">
        <f t="shared" si="0"/>
        <v>11410</v>
      </c>
      <c r="K21" s="97">
        <f t="shared" si="1"/>
        <v>18774</v>
      </c>
      <c r="L21" s="97">
        <f t="shared" si="2"/>
        <v>7364</v>
      </c>
      <c r="M21" s="97" t="str">
        <f t="shared" si="6"/>
        <v>profit</v>
      </c>
      <c r="N21" s="100" t="b">
        <f t="shared" si="7"/>
        <v>0</v>
      </c>
      <c r="V21" s="99">
        <v>45551</v>
      </c>
      <c r="W21" s="97" t="s">
        <v>170</v>
      </c>
      <c r="X21" s="19" t="s">
        <v>109</v>
      </c>
      <c r="Y21" s="97" t="s">
        <v>131</v>
      </c>
      <c r="Z21" s="97" t="s">
        <v>151</v>
      </c>
      <c r="AA21" s="97" t="s">
        <v>112</v>
      </c>
      <c r="AB21" s="97">
        <v>12</v>
      </c>
      <c r="AC21" s="97">
        <v>539</v>
      </c>
      <c r="AD21" s="97">
        <v>1136</v>
      </c>
      <c r="AE21" s="97">
        <f t="shared" si="17"/>
        <v>6468</v>
      </c>
      <c r="AF21" s="97">
        <f t="shared" si="19"/>
        <v>13632</v>
      </c>
      <c r="AG21" s="97">
        <f t="shared" si="18"/>
        <v>7164</v>
      </c>
      <c r="AH21" s="97" t="str">
        <f t="shared" si="20"/>
        <v>profit</v>
      </c>
      <c r="AI21" s="100" t="b">
        <f t="shared" si="21"/>
        <v>0</v>
      </c>
      <c r="AN21" s="107">
        <v>138091</v>
      </c>
      <c r="AO21" s="106">
        <v>138091</v>
      </c>
    </row>
    <row r="22" spans="1:41" x14ac:dyDescent="0.3">
      <c r="A22" s="99">
        <v>45513</v>
      </c>
      <c r="B22" s="97" t="s">
        <v>152</v>
      </c>
      <c r="C22" s="19" t="s">
        <v>109</v>
      </c>
      <c r="D22" s="97" t="s">
        <v>131</v>
      </c>
      <c r="E22" s="97" t="s">
        <v>133</v>
      </c>
      <c r="F22" s="97" t="s">
        <v>112</v>
      </c>
      <c r="G22" s="97">
        <v>18</v>
      </c>
      <c r="H22" s="97">
        <v>704</v>
      </c>
      <c r="I22" s="97">
        <v>930</v>
      </c>
      <c r="J22" s="97">
        <f t="shared" si="0"/>
        <v>12672</v>
      </c>
      <c r="K22" s="97">
        <f t="shared" si="1"/>
        <v>16740</v>
      </c>
      <c r="L22" s="97">
        <f t="shared" si="2"/>
        <v>4068</v>
      </c>
      <c r="M22" s="97" t="str">
        <f t="shared" si="6"/>
        <v>profit</v>
      </c>
      <c r="N22" s="100" t="b">
        <f t="shared" si="7"/>
        <v>0</v>
      </c>
      <c r="V22" s="99">
        <v>45483</v>
      </c>
      <c r="W22" s="97" t="s">
        <v>148</v>
      </c>
      <c r="X22" s="19" t="s">
        <v>109</v>
      </c>
      <c r="Y22" s="97" t="s">
        <v>131</v>
      </c>
      <c r="Z22" s="97" t="s">
        <v>133</v>
      </c>
      <c r="AA22" s="97" t="s">
        <v>112</v>
      </c>
      <c r="AB22" s="97">
        <v>11</v>
      </c>
      <c r="AC22" s="97">
        <v>991</v>
      </c>
      <c r="AD22" s="97">
        <v>803</v>
      </c>
      <c r="AE22" s="97">
        <f t="shared" si="17"/>
        <v>10901</v>
      </c>
      <c r="AF22" s="97">
        <f t="shared" ref="AF22" si="22">AB22*AD22</f>
        <v>8833</v>
      </c>
      <c r="AG22" s="97">
        <f t="shared" si="18"/>
        <v>-2068</v>
      </c>
      <c r="AH22" s="97" t="str">
        <f t="shared" si="20"/>
        <v>loss</v>
      </c>
      <c r="AI22" s="100" t="b">
        <f t="shared" si="21"/>
        <v>0</v>
      </c>
      <c r="AN22" s="107">
        <v>177262</v>
      </c>
      <c r="AO22" s="106">
        <v>177262</v>
      </c>
    </row>
    <row r="23" spans="1:41" ht="15" thickBot="1" x14ac:dyDescent="0.35">
      <c r="A23" s="99">
        <v>45405</v>
      </c>
      <c r="B23" s="97" t="s">
        <v>153</v>
      </c>
      <c r="C23" s="19" t="s">
        <v>139</v>
      </c>
      <c r="D23" s="97" t="s">
        <v>154</v>
      </c>
      <c r="E23" s="97" t="s">
        <v>155</v>
      </c>
      <c r="F23" s="97" t="s">
        <v>123</v>
      </c>
      <c r="G23" s="97">
        <v>25</v>
      </c>
      <c r="H23" s="97">
        <v>958</v>
      </c>
      <c r="I23" s="97">
        <v>942</v>
      </c>
      <c r="J23" s="97">
        <f t="shared" si="0"/>
        <v>23950</v>
      </c>
      <c r="K23" s="97">
        <f t="shared" si="1"/>
        <v>23550</v>
      </c>
      <c r="L23" s="97">
        <f t="shared" si="2"/>
        <v>-400</v>
      </c>
      <c r="M23" s="97" t="str">
        <f t="shared" si="6"/>
        <v>loss</v>
      </c>
      <c r="N23" s="100" t="b">
        <f t="shared" si="7"/>
        <v>0</v>
      </c>
      <c r="V23" s="99">
        <v>45510</v>
      </c>
      <c r="W23" s="97" t="s">
        <v>149</v>
      </c>
      <c r="X23" s="19" t="s">
        <v>109</v>
      </c>
      <c r="Y23" s="97" t="s">
        <v>131</v>
      </c>
      <c r="Z23" s="97" t="s">
        <v>137</v>
      </c>
      <c r="AA23" s="97" t="s">
        <v>112</v>
      </c>
      <c r="AB23" s="97">
        <v>10</v>
      </c>
      <c r="AC23" s="97">
        <v>844</v>
      </c>
      <c r="AD23" s="97">
        <v>865</v>
      </c>
      <c r="AE23" s="97">
        <f t="shared" si="17"/>
        <v>8440</v>
      </c>
      <c r="AF23" s="97" t="s">
        <v>340</v>
      </c>
      <c r="AG23" s="97" t="e">
        <f t="shared" si="18"/>
        <v>#VALUE!</v>
      </c>
      <c r="AH23" s="97" t="e">
        <f t="shared" si="20"/>
        <v>#VALUE!</v>
      </c>
      <c r="AI23" s="100" t="e">
        <f t="shared" si="21"/>
        <v>#VALUE!</v>
      </c>
      <c r="AN23" s="108">
        <v>194006</v>
      </c>
      <c r="AO23" s="109">
        <v>194006</v>
      </c>
    </row>
    <row r="24" spans="1:41" x14ac:dyDescent="0.3">
      <c r="A24" s="99">
        <v>45514</v>
      </c>
      <c r="B24" s="97" t="s">
        <v>156</v>
      </c>
      <c r="C24" s="19" t="s">
        <v>109</v>
      </c>
      <c r="D24" s="97" t="s">
        <v>131</v>
      </c>
      <c r="E24" s="97" t="s">
        <v>133</v>
      </c>
      <c r="F24" s="97" t="s">
        <v>112</v>
      </c>
      <c r="G24" s="97">
        <v>19</v>
      </c>
      <c r="H24" s="97">
        <v>744</v>
      </c>
      <c r="I24" s="97">
        <v>1433</v>
      </c>
      <c r="J24" s="97">
        <f t="shared" si="0"/>
        <v>14136</v>
      </c>
      <c r="K24" s="97">
        <f t="shared" si="1"/>
        <v>27227</v>
      </c>
      <c r="L24" s="97">
        <f t="shared" si="2"/>
        <v>13091</v>
      </c>
      <c r="M24" s="97" t="str">
        <f t="shared" si="6"/>
        <v>profit</v>
      </c>
      <c r="N24" s="100" t="b">
        <f t="shared" si="7"/>
        <v>0</v>
      </c>
      <c r="V24" s="99">
        <v>45513</v>
      </c>
      <c r="W24" s="97" t="s">
        <v>152</v>
      </c>
      <c r="X24" s="19" t="s">
        <v>109</v>
      </c>
      <c r="Y24" s="97" t="s">
        <v>131</v>
      </c>
      <c r="Z24" s="97" t="s">
        <v>133</v>
      </c>
      <c r="AA24" s="97" t="s">
        <v>112</v>
      </c>
      <c r="AB24" s="97">
        <v>12</v>
      </c>
      <c r="AC24" s="97">
        <v>606</v>
      </c>
      <c r="AD24" s="97">
        <v>1154</v>
      </c>
      <c r="AE24" s="97">
        <f t="shared" si="17"/>
        <v>7272</v>
      </c>
      <c r="AF24" s="97">
        <f t="shared" ref="AF24" si="23">AB24*AD24</f>
        <v>13848</v>
      </c>
      <c r="AG24" s="97">
        <f t="shared" si="18"/>
        <v>6576</v>
      </c>
      <c r="AH24" s="97" t="str">
        <f t="shared" si="20"/>
        <v>profit</v>
      </c>
      <c r="AI24" s="100" t="b">
        <f t="shared" si="21"/>
        <v>0</v>
      </c>
    </row>
    <row r="25" spans="1:41" x14ac:dyDescent="0.3">
      <c r="A25" s="99">
        <v>45407</v>
      </c>
      <c r="B25" s="97" t="s">
        <v>157</v>
      </c>
      <c r="C25" s="19" t="s">
        <v>139</v>
      </c>
      <c r="D25" s="97" t="s">
        <v>154</v>
      </c>
      <c r="E25" s="97" t="s">
        <v>151</v>
      </c>
      <c r="F25" s="97" t="s">
        <v>112</v>
      </c>
      <c r="G25" s="97">
        <v>26</v>
      </c>
      <c r="H25" s="97">
        <v>520</v>
      </c>
      <c r="I25" s="97">
        <v>1486</v>
      </c>
      <c r="J25" s="97">
        <f t="shared" si="0"/>
        <v>13520</v>
      </c>
      <c r="K25" s="97">
        <f t="shared" si="1"/>
        <v>38636</v>
      </c>
      <c r="L25" s="97">
        <f t="shared" si="2"/>
        <v>25116</v>
      </c>
      <c r="M25" s="97" t="str">
        <f t="shared" si="6"/>
        <v>profit</v>
      </c>
      <c r="N25" s="100" t="b">
        <f t="shared" si="7"/>
        <v>0</v>
      </c>
      <c r="V25" s="99">
        <v>45543</v>
      </c>
      <c r="W25" s="97" t="s">
        <v>160</v>
      </c>
      <c r="X25" s="19" t="s">
        <v>109</v>
      </c>
      <c r="Y25" s="97" t="s">
        <v>131</v>
      </c>
      <c r="Z25" s="97" t="s">
        <v>161</v>
      </c>
      <c r="AA25" s="97" t="s">
        <v>123</v>
      </c>
      <c r="AB25" s="97">
        <v>11</v>
      </c>
      <c r="AC25" s="97">
        <v>960</v>
      </c>
      <c r="AD25" s="97">
        <v>939</v>
      </c>
      <c r="AE25" s="97">
        <f t="shared" si="17"/>
        <v>10560</v>
      </c>
      <c r="AF25" s="97">
        <f t="shared" ref="AF25:AF26" si="24">AB25*AD25</f>
        <v>10329</v>
      </c>
      <c r="AG25" s="97">
        <f t="shared" si="18"/>
        <v>-231</v>
      </c>
      <c r="AH25" s="97" t="str">
        <f t="shared" si="20"/>
        <v>loss</v>
      </c>
      <c r="AI25" s="100" t="b">
        <f t="shared" si="21"/>
        <v>0</v>
      </c>
    </row>
    <row r="26" spans="1:41" x14ac:dyDescent="0.3">
      <c r="A26" s="99">
        <v>45515</v>
      </c>
      <c r="B26" s="97" t="s">
        <v>158</v>
      </c>
      <c r="C26" s="19" t="s">
        <v>109</v>
      </c>
      <c r="D26" s="97" t="s">
        <v>131</v>
      </c>
      <c r="E26" s="97" t="s">
        <v>137</v>
      </c>
      <c r="F26" s="97" t="s">
        <v>123</v>
      </c>
      <c r="G26" s="97">
        <v>10</v>
      </c>
      <c r="H26" s="97">
        <v>669</v>
      </c>
      <c r="I26" s="97">
        <v>1344</v>
      </c>
      <c r="J26" s="97">
        <f t="shared" si="0"/>
        <v>6690</v>
      </c>
      <c r="K26" s="97">
        <f t="shared" si="1"/>
        <v>13440</v>
      </c>
      <c r="L26" s="97">
        <f t="shared" si="2"/>
        <v>6750</v>
      </c>
      <c r="M26" s="97" t="str">
        <f t="shared" si="6"/>
        <v>profit</v>
      </c>
      <c r="N26" s="100" t="b">
        <f t="shared" si="7"/>
        <v>0</v>
      </c>
      <c r="V26" s="99">
        <v>45545</v>
      </c>
      <c r="W26" s="97" t="s">
        <v>163</v>
      </c>
      <c r="X26" s="19" t="s">
        <v>109</v>
      </c>
      <c r="Y26" s="97" t="s">
        <v>131</v>
      </c>
      <c r="Z26" s="97" t="s">
        <v>120</v>
      </c>
      <c r="AA26" s="97" t="s">
        <v>123</v>
      </c>
      <c r="AB26" s="97">
        <v>14</v>
      </c>
      <c r="AC26" s="97">
        <v>504</v>
      </c>
      <c r="AD26" s="97">
        <v>1130</v>
      </c>
      <c r="AE26" s="97">
        <f t="shared" si="17"/>
        <v>7056</v>
      </c>
      <c r="AF26" s="97">
        <f t="shared" si="24"/>
        <v>15820</v>
      </c>
      <c r="AG26" s="97">
        <f t="shared" si="18"/>
        <v>8764</v>
      </c>
      <c r="AH26" s="97" t="str">
        <f t="shared" si="20"/>
        <v>profit</v>
      </c>
      <c r="AI26" s="100" t="b">
        <f t="shared" si="21"/>
        <v>0</v>
      </c>
    </row>
    <row r="27" spans="1:41" x14ac:dyDescent="0.3">
      <c r="A27" s="99">
        <v>45516</v>
      </c>
      <c r="B27" s="97" t="s">
        <v>159</v>
      </c>
      <c r="C27" s="19" t="s">
        <v>109</v>
      </c>
      <c r="D27" s="97" t="s">
        <v>131</v>
      </c>
      <c r="E27" s="97" t="s">
        <v>122</v>
      </c>
      <c r="F27" s="97" t="s">
        <v>123</v>
      </c>
      <c r="G27" s="97">
        <v>20</v>
      </c>
      <c r="H27" s="97">
        <v>966</v>
      </c>
      <c r="I27" s="97">
        <v>924</v>
      </c>
      <c r="J27" s="97">
        <f t="shared" si="0"/>
        <v>19320</v>
      </c>
      <c r="K27" s="97">
        <f t="shared" si="1"/>
        <v>18480</v>
      </c>
      <c r="L27" s="97">
        <f t="shared" si="2"/>
        <v>-840</v>
      </c>
      <c r="M27" s="97" t="str">
        <f t="shared" si="6"/>
        <v>loss</v>
      </c>
      <c r="N27" s="100" t="b">
        <f t="shared" si="7"/>
        <v>0</v>
      </c>
      <c r="V27" s="99">
        <v>45551</v>
      </c>
      <c r="W27" s="97" t="s">
        <v>170</v>
      </c>
      <c r="X27" s="19" t="s">
        <v>109</v>
      </c>
      <c r="Y27" s="97" t="s">
        <v>131</v>
      </c>
      <c r="Z27" s="97" t="s">
        <v>151</v>
      </c>
      <c r="AA27" s="97" t="s">
        <v>112</v>
      </c>
      <c r="AB27" s="97">
        <v>20</v>
      </c>
      <c r="AC27" s="97">
        <v>529</v>
      </c>
      <c r="AD27" s="97">
        <v>1455</v>
      </c>
      <c r="AE27" s="97">
        <f t="shared" si="17"/>
        <v>10580</v>
      </c>
      <c r="AF27" s="97">
        <f t="shared" ref="AF27:AF29" si="25">AB27*AD27</f>
        <v>29100</v>
      </c>
      <c r="AG27" s="97">
        <f t="shared" si="18"/>
        <v>18520</v>
      </c>
      <c r="AH27" s="97" t="str">
        <f t="shared" si="20"/>
        <v>profit</v>
      </c>
      <c r="AI27" s="100" t="b">
        <f t="shared" si="21"/>
        <v>0</v>
      </c>
    </row>
    <row r="28" spans="1:41" x14ac:dyDescent="0.3">
      <c r="A28" s="99">
        <v>45543</v>
      </c>
      <c r="B28" s="97" t="s">
        <v>160</v>
      </c>
      <c r="C28" s="19" t="s">
        <v>109</v>
      </c>
      <c r="D28" s="97" t="s">
        <v>131</v>
      </c>
      <c r="E28" s="97" t="s">
        <v>161</v>
      </c>
      <c r="F28" s="97" t="s">
        <v>123</v>
      </c>
      <c r="G28" s="97">
        <v>18</v>
      </c>
      <c r="H28" s="97">
        <v>859</v>
      </c>
      <c r="I28" s="97">
        <v>1044</v>
      </c>
      <c r="J28" s="97">
        <f t="shared" si="0"/>
        <v>15462</v>
      </c>
      <c r="K28" s="97">
        <f t="shared" si="1"/>
        <v>18792</v>
      </c>
      <c r="L28" s="97">
        <f t="shared" si="2"/>
        <v>3330</v>
      </c>
      <c r="M28" s="97" t="str">
        <f t="shared" si="6"/>
        <v>profit</v>
      </c>
      <c r="N28" s="100" t="b">
        <f t="shared" si="7"/>
        <v>0</v>
      </c>
      <c r="V28" s="99">
        <v>45553</v>
      </c>
      <c r="W28" s="97" t="s">
        <v>172</v>
      </c>
      <c r="X28" s="19" t="s">
        <v>109</v>
      </c>
      <c r="Y28" s="97" t="s">
        <v>131</v>
      </c>
      <c r="Z28" s="97" t="s">
        <v>133</v>
      </c>
      <c r="AA28" s="97" t="s">
        <v>112</v>
      </c>
      <c r="AB28" s="97">
        <v>17</v>
      </c>
      <c r="AC28" s="97">
        <v>966</v>
      </c>
      <c r="AD28" s="97">
        <v>1044</v>
      </c>
      <c r="AE28" s="97">
        <f t="shared" si="17"/>
        <v>16422</v>
      </c>
      <c r="AF28" s="97">
        <f t="shared" si="25"/>
        <v>17748</v>
      </c>
      <c r="AG28" s="97">
        <f t="shared" si="18"/>
        <v>1326</v>
      </c>
      <c r="AH28" s="97" t="str">
        <f t="shared" si="20"/>
        <v>profit</v>
      </c>
      <c r="AI28" s="100" t="b">
        <f t="shared" si="21"/>
        <v>0</v>
      </c>
    </row>
    <row r="29" spans="1:41" x14ac:dyDescent="0.3">
      <c r="A29" s="99">
        <v>45544</v>
      </c>
      <c r="B29" s="97" t="s">
        <v>162</v>
      </c>
      <c r="C29" s="19" t="s">
        <v>109</v>
      </c>
      <c r="D29" s="97" t="s">
        <v>131</v>
      </c>
      <c r="E29" s="97" t="s">
        <v>137</v>
      </c>
      <c r="F29" s="97" t="s">
        <v>123</v>
      </c>
      <c r="G29" s="97">
        <v>15</v>
      </c>
      <c r="H29" s="97">
        <v>890</v>
      </c>
      <c r="I29" s="97">
        <v>1362</v>
      </c>
      <c r="J29" s="97">
        <f t="shared" si="0"/>
        <v>13350</v>
      </c>
      <c r="K29" s="97">
        <f t="shared" si="1"/>
        <v>20430</v>
      </c>
      <c r="L29" s="97">
        <f t="shared" si="2"/>
        <v>7080</v>
      </c>
      <c r="M29" s="97" t="str">
        <f t="shared" si="6"/>
        <v>profit</v>
      </c>
      <c r="N29" s="100" t="b">
        <f t="shared" si="7"/>
        <v>0</v>
      </c>
      <c r="V29" s="99">
        <v>45562</v>
      </c>
      <c r="W29" s="97" t="s">
        <v>173</v>
      </c>
      <c r="X29" s="19" t="s">
        <v>109</v>
      </c>
      <c r="Y29" s="97" t="s">
        <v>110</v>
      </c>
      <c r="Z29" s="97" t="s">
        <v>129</v>
      </c>
      <c r="AA29" s="97" t="s">
        <v>123</v>
      </c>
      <c r="AB29" s="97">
        <v>16</v>
      </c>
      <c r="AC29" s="97">
        <v>599</v>
      </c>
      <c r="AD29" s="97">
        <v>1490</v>
      </c>
      <c r="AE29" s="97">
        <f t="shared" si="17"/>
        <v>9584</v>
      </c>
      <c r="AF29" s="97">
        <f t="shared" si="25"/>
        <v>23840</v>
      </c>
      <c r="AG29" s="97">
        <f t="shared" si="18"/>
        <v>14256</v>
      </c>
      <c r="AH29" s="97" t="str">
        <f t="shared" si="20"/>
        <v>profit</v>
      </c>
      <c r="AI29" s="100" t="b">
        <f t="shared" si="21"/>
        <v>0</v>
      </c>
    </row>
    <row r="30" spans="1:41" x14ac:dyDescent="0.3">
      <c r="A30" s="99">
        <v>45545</v>
      </c>
      <c r="B30" s="97" t="s">
        <v>163</v>
      </c>
      <c r="C30" s="19" t="s">
        <v>109</v>
      </c>
      <c r="D30" s="97" t="s">
        <v>131</v>
      </c>
      <c r="E30" s="97" t="s">
        <v>120</v>
      </c>
      <c r="F30" s="97" t="s">
        <v>123</v>
      </c>
      <c r="G30" s="97">
        <v>19</v>
      </c>
      <c r="H30" s="97">
        <v>630</v>
      </c>
      <c r="I30" s="97">
        <v>882</v>
      </c>
      <c r="J30" s="97">
        <f t="shared" si="0"/>
        <v>11970</v>
      </c>
      <c r="K30" s="97">
        <f t="shared" si="1"/>
        <v>16758</v>
      </c>
      <c r="L30" s="97">
        <f t="shared" si="2"/>
        <v>4788</v>
      </c>
      <c r="M30" s="97" t="str">
        <f t="shared" si="6"/>
        <v>profit</v>
      </c>
      <c r="N30" s="100" t="b">
        <f t="shared" si="7"/>
        <v>0</v>
      </c>
      <c r="V30" s="99">
        <v>45564</v>
      </c>
      <c r="W30" s="97" t="s">
        <v>174</v>
      </c>
      <c r="X30" s="19" t="s">
        <v>109</v>
      </c>
      <c r="Y30" s="97" t="s">
        <v>110</v>
      </c>
      <c r="Z30" s="97" t="s">
        <v>133</v>
      </c>
      <c r="AA30" s="97" t="s">
        <v>112</v>
      </c>
      <c r="AB30" s="97">
        <v>12</v>
      </c>
      <c r="AC30" s="97">
        <v>827</v>
      </c>
      <c r="AD30" s="97">
        <v>955</v>
      </c>
      <c r="AE30" s="97">
        <f t="shared" si="17"/>
        <v>9924</v>
      </c>
      <c r="AF30" s="97" t="s">
        <v>340</v>
      </c>
      <c r="AG30" s="97" t="e">
        <f t="shared" si="18"/>
        <v>#VALUE!</v>
      </c>
      <c r="AH30" s="97" t="e">
        <f t="shared" si="20"/>
        <v>#VALUE!</v>
      </c>
      <c r="AI30" s="100" t="e">
        <f t="shared" si="21"/>
        <v>#VALUE!</v>
      </c>
    </row>
    <row r="31" spans="1:41" x14ac:dyDescent="0.3">
      <c r="A31" s="99">
        <v>45546</v>
      </c>
      <c r="B31" s="97" t="s">
        <v>164</v>
      </c>
      <c r="C31" s="19" t="s">
        <v>109</v>
      </c>
      <c r="D31" s="97" t="s">
        <v>131</v>
      </c>
      <c r="E31" s="97" t="s">
        <v>155</v>
      </c>
      <c r="F31" s="97" t="s">
        <v>123</v>
      </c>
      <c r="G31" s="97">
        <v>10</v>
      </c>
      <c r="H31" s="97">
        <v>701</v>
      </c>
      <c r="I31" s="97">
        <v>1384</v>
      </c>
      <c r="J31" s="97">
        <f t="shared" si="0"/>
        <v>7010</v>
      </c>
      <c r="K31" s="97">
        <f t="shared" si="1"/>
        <v>13840</v>
      </c>
      <c r="L31" s="97">
        <f t="shared" si="2"/>
        <v>6830</v>
      </c>
      <c r="M31" s="97" t="str">
        <f t="shared" si="6"/>
        <v>profit</v>
      </c>
      <c r="N31" s="100" t="b">
        <f t="shared" si="7"/>
        <v>0</v>
      </c>
      <c r="V31" s="99">
        <v>45566</v>
      </c>
      <c r="W31" s="97" t="s">
        <v>175</v>
      </c>
      <c r="X31" s="19" t="s">
        <v>109</v>
      </c>
      <c r="Y31" s="97" t="s">
        <v>110</v>
      </c>
      <c r="Z31" s="97" t="s">
        <v>155</v>
      </c>
      <c r="AA31" s="97" t="s">
        <v>112</v>
      </c>
      <c r="AB31" s="97">
        <v>17</v>
      </c>
      <c r="AC31" s="97">
        <v>932</v>
      </c>
      <c r="AD31" s="97">
        <v>808</v>
      </c>
      <c r="AE31" s="97">
        <f t="shared" si="17"/>
        <v>15844</v>
      </c>
      <c r="AF31" s="97">
        <f t="shared" ref="AF31:AF33" si="26">AB31*AD31</f>
        <v>13736</v>
      </c>
      <c r="AG31" s="97">
        <f t="shared" si="18"/>
        <v>-2108</v>
      </c>
      <c r="AH31" s="97" t="str">
        <f t="shared" si="20"/>
        <v>loss</v>
      </c>
      <c r="AI31" s="100" t="b">
        <f t="shared" si="21"/>
        <v>0</v>
      </c>
    </row>
    <row r="32" spans="1:41" x14ac:dyDescent="0.3">
      <c r="A32" s="99">
        <v>45547</v>
      </c>
      <c r="B32" s="97" t="s">
        <v>165</v>
      </c>
      <c r="C32" s="19" t="s">
        <v>109</v>
      </c>
      <c r="D32" s="97" t="s">
        <v>131</v>
      </c>
      <c r="E32" s="97" t="s">
        <v>166</v>
      </c>
      <c r="F32" s="97" t="s">
        <v>112</v>
      </c>
      <c r="G32" s="97">
        <v>19</v>
      </c>
      <c r="H32" s="97">
        <v>653</v>
      </c>
      <c r="I32" s="97">
        <v>1402</v>
      </c>
      <c r="J32" s="97">
        <f t="shared" si="0"/>
        <v>12407</v>
      </c>
      <c r="K32" s="97">
        <f t="shared" si="1"/>
        <v>26638</v>
      </c>
      <c r="L32" s="97">
        <f t="shared" si="2"/>
        <v>14231</v>
      </c>
      <c r="M32" s="97" t="str">
        <f t="shared" si="6"/>
        <v>profit</v>
      </c>
      <c r="N32" s="100" t="b">
        <f t="shared" si="7"/>
        <v>0</v>
      </c>
      <c r="V32" s="99">
        <v>45567</v>
      </c>
      <c r="W32" s="97" t="s">
        <v>176</v>
      </c>
      <c r="X32" s="19" t="s">
        <v>109</v>
      </c>
      <c r="Y32" s="97" t="s">
        <v>110</v>
      </c>
      <c r="Z32" s="97" t="s">
        <v>151</v>
      </c>
      <c r="AA32" s="97" t="s">
        <v>112</v>
      </c>
      <c r="AB32" s="97">
        <v>11</v>
      </c>
      <c r="AC32" s="97">
        <v>654</v>
      </c>
      <c r="AD32" s="97">
        <v>767</v>
      </c>
      <c r="AE32" s="97">
        <f t="shared" si="17"/>
        <v>7194</v>
      </c>
      <c r="AF32" s="97">
        <f t="shared" si="26"/>
        <v>8437</v>
      </c>
      <c r="AG32" s="97">
        <f t="shared" si="18"/>
        <v>1243</v>
      </c>
      <c r="AH32" s="97" t="str">
        <f t="shared" si="20"/>
        <v>profit</v>
      </c>
      <c r="AI32" s="100" t="b">
        <f t="shared" si="21"/>
        <v>0</v>
      </c>
    </row>
    <row r="33" spans="1:35" x14ac:dyDescent="0.3">
      <c r="A33" s="99">
        <v>45548</v>
      </c>
      <c r="B33" s="97" t="s">
        <v>167</v>
      </c>
      <c r="C33" s="19" t="s">
        <v>109</v>
      </c>
      <c r="D33" s="97" t="s">
        <v>131</v>
      </c>
      <c r="E33" s="97" t="s">
        <v>168</v>
      </c>
      <c r="F33" s="97" t="s">
        <v>112</v>
      </c>
      <c r="G33" s="97">
        <v>14</v>
      </c>
      <c r="H33" s="97">
        <v>968</v>
      </c>
      <c r="I33" s="97">
        <v>1419</v>
      </c>
      <c r="J33" s="97">
        <f t="shared" si="0"/>
        <v>13552</v>
      </c>
      <c r="K33" s="97">
        <f t="shared" si="1"/>
        <v>19866</v>
      </c>
      <c r="L33" s="97">
        <f t="shared" si="2"/>
        <v>6314</v>
      </c>
      <c r="M33" s="97" t="str">
        <f t="shared" si="6"/>
        <v>profit</v>
      </c>
      <c r="N33" s="100" t="b">
        <f t="shared" si="7"/>
        <v>0</v>
      </c>
      <c r="V33" s="99">
        <v>45580</v>
      </c>
      <c r="W33" s="97" t="s">
        <v>178</v>
      </c>
      <c r="X33" s="19" t="s">
        <v>109</v>
      </c>
      <c r="Y33" s="97" t="s">
        <v>131</v>
      </c>
      <c r="Z33" s="97" t="s">
        <v>125</v>
      </c>
      <c r="AA33" s="97" t="s">
        <v>123</v>
      </c>
      <c r="AB33" s="97">
        <v>15</v>
      </c>
      <c r="AC33" s="97">
        <v>906</v>
      </c>
      <c r="AD33" s="97">
        <v>1485</v>
      </c>
      <c r="AE33" s="97">
        <f t="shared" si="17"/>
        <v>13590</v>
      </c>
      <c r="AF33" s="97">
        <f t="shared" si="26"/>
        <v>22275</v>
      </c>
      <c r="AG33" s="97">
        <f t="shared" si="18"/>
        <v>8685</v>
      </c>
      <c r="AH33" s="97" t="str">
        <f t="shared" si="20"/>
        <v>profit</v>
      </c>
      <c r="AI33" s="100" t="b">
        <f t="shared" si="21"/>
        <v>0</v>
      </c>
    </row>
    <row r="34" spans="1:35" x14ac:dyDescent="0.3">
      <c r="A34" s="99">
        <v>45550</v>
      </c>
      <c r="B34" s="97" t="s">
        <v>169</v>
      </c>
      <c r="C34" s="19" t="s">
        <v>109</v>
      </c>
      <c r="D34" s="97" t="s">
        <v>131</v>
      </c>
      <c r="E34" s="97" t="s">
        <v>137</v>
      </c>
      <c r="F34" s="97" t="s">
        <v>112</v>
      </c>
      <c r="G34" s="97">
        <v>20</v>
      </c>
      <c r="H34" s="97">
        <v>508</v>
      </c>
      <c r="I34" s="97">
        <v>1433</v>
      </c>
      <c r="J34" s="97">
        <f t="shared" si="0"/>
        <v>10160</v>
      </c>
      <c r="K34" s="97">
        <f t="shared" si="1"/>
        <v>28660</v>
      </c>
      <c r="L34" s="97">
        <f t="shared" si="2"/>
        <v>18500</v>
      </c>
      <c r="M34" s="97" t="str">
        <f t="shared" si="6"/>
        <v>profit</v>
      </c>
      <c r="N34" s="100" t="b">
        <f t="shared" si="7"/>
        <v>0</v>
      </c>
      <c r="V34" s="99">
        <v>45582</v>
      </c>
      <c r="W34" s="97" t="s">
        <v>180</v>
      </c>
      <c r="X34" s="19" t="s">
        <v>109</v>
      </c>
      <c r="Y34" s="97" t="s">
        <v>131</v>
      </c>
      <c r="Z34" s="97" t="s">
        <v>166</v>
      </c>
      <c r="AA34" s="97" t="s">
        <v>123</v>
      </c>
      <c r="AB34" s="97">
        <v>17</v>
      </c>
      <c r="AC34" s="97">
        <v>747</v>
      </c>
      <c r="AD34" s="97">
        <v>1190</v>
      </c>
      <c r="AE34" s="97">
        <f t="shared" si="17"/>
        <v>12699</v>
      </c>
      <c r="AF34" s="97">
        <f t="shared" ref="AF34" si="27">AB34*AD34</f>
        <v>20230</v>
      </c>
      <c r="AG34" s="97">
        <f t="shared" si="18"/>
        <v>7531</v>
      </c>
      <c r="AH34" s="97" t="str">
        <f t="shared" si="20"/>
        <v>profit</v>
      </c>
      <c r="AI34" s="100" t="b">
        <f t="shared" si="21"/>
        <v>0</v>
      </c>
    </row>
    <row r="35" spans="1:35" x14ac:dyDescent="0.3">
      <c r="A35" s="99">
        <v>45551</v>
      </c>
      <c r="B35" s="97" t="s">
        <v>170</v>
      </c>
      <c r="C35" s="19" t="s">
        <v>109</v>
      </c>
      <c r="D35" s="97" t="s">
        <v>131</v>
      </c>
      <c r="E35" s="97" t="s">
        <v>151</v>
      </c>
      <c r="F35" s="97" t="s">
        <v>112</v>
      </c>
      <c r="G35" s="97">
        <v>12</v>
      </c>
      <c r="H35" s="97">
        <v>539</v>
      </c>
      <c r="I35" s="97">
        <v>1136</v>
      </c>
      <c r="J35" s="97">
        <f t="shared" si="0"/>
        <v>6468</v>
      </c>
      <c r="K35" s="97">
        <f t="shared" si="1"/>
        <v>13632</v>
      </c>
      <c r="L35" s="97">
        <f t="shared" si="2"/>
        <v>7164</v>
      </c>
      <c r="M35" s="97" t="str">
        <f t="shared" si="6"/>
        <v>profit</v>
      </c>
      <c r="N35" s="100" t="b">
        <f t="shared" si="7"/>
        <v>0</v>
      </c>
      <c r="V35" s="99">
        <v>45663</v>
      </c>
      <c r="W35" s="97" t="s">
        <v>188</v>
      </c>
      <c r="X35" s="19" t="s">
        <v>109</v>
      </c>
      <c r="Y35" s="97" t="s">
        <v>110</v>
      </c>
      <c r="Z35" s="97" t="s">
        <v>115</v>
      </c>
      <c r="AA35" s="97" t="s">
        <v>112</v>
      </c>
      <c r="AB35" s="97">
        <v>17</v>
      </c>
      <c r="AC35" s="97">
        <v>825</v>
      </c>
      <c r="AD35" s="97">
        <v>1080</v>
      </c>
      <c r="AE35" s="97">
        <f t="shared" si="17"/>
        <v>14025</v>
      </c>
      <c r="AF35" s="97">
        <f t="shared" ref="AF35:AF38" si="28">AB35*AD35</f>
        <v>18360</v>
      </c>
      <c r="AG35" s="97">
        <f t="shared" si="18"/>
        <v>4335</v>
      </c>
      <c r="AH35" s="97" t="str">
        <f t="shared" si="20"/>
        <v>profit</v>
      </c>
      <c r="AI35" s="100" t="b">
        <f t="shared" si="21"/>
        <v>0</v>
      </c>
    </row>
    <row r="36" spans="1:35" x14ac:dyDescent="0.3">
      <c r="A36" s="99">
        <v>45552</v>
      </c>
      <c r="B36" s="97" t="s">
        <v>171</v>
      </c>
      <c r="C36" s="19" t="s">
        <v>109</v>
      </c>
      <c r="D36" s="97" t="s">
        <v>131</v>
      </c>
      <c r="E36" s="97" t="s">
        <v>129</v>
      </c>
      <c r="F36" s="97" t="s">
        <v>112</v>
      </c>
      <c r="G36" s="97">
        <v>10</v>
      </c>
      <c r="H36" s="97">
        <v>731</v>
      </c>
      <c r="I36" s="97">
        <v>1226</v>
      </c>
      <c r="J36" s="97">
        <f t="shared" si="0"/>
        <v>7310</v>
      </c>
      <c r="K36" s="97">
        <f t="shared" si="1"/>
        <v>12260</v>
      </c>
      <c r="L36" s="97">
        <f t="shared" si="2"/>
        <v>4950</v>
      </c>
      <c r="M36" s="97" t="str">
        <f t="shared" si="6"/>
        <v>profit</v>
      </c>
      <c r="N36" s="100" t="b">
        <f t="shared" si="7"/>
        <v>0</v>
      </c>
      <c r="V36" s="99">
        <v>45563</v>
      </c>
      <c r="W36" s="97" t="s">
        <v>215</v>
      </c>
      <c r="X36" s="19" t="s">
        <v>109</v>
      </c>
      <c r="Y36" s="97" t="s">
        <v>110</v>
      </c>
      <c r="Z36" s="97" t="s">
        <v>133</v>
      </c>
      <c r="AA36" s="97" t="s">
        <v>112</v>
      </c>
      <c r="AB36" s="97">
        <v>15</v>
      </c>
      <c r="AC36" s="97">
        <v>650</v>
      </c>
      <c r="AD36" s="97">
        <v>1347</v>
      </c>
      <c r="AE36" s="97">
        <f t="shared" si="17"/>
        <v>9750</v>
      </c>
      <c r="AF36" s="97">
        <f t="shared" si="28"/>
        <v>20205</v>
      </c>
      <c r="AG36" s="97">
        <f t="shared" si="18"/>
        <v>10455</v>
      </c>
      <c r="AH36" s="97" t="str">
        <f t="shared" si="20"/>
        <v>profit</v>
      </c>
      <c r="AI36" s="100" t="b">
        <f t="shared" si="21"/>
        <v>0</v>
      </c>
    </row>
    <row r="37" spans="1:35" x14ac:dyDescent="0.3">
      <c r="A37" s="99">
        <v>45553</v>
      </c>
      <c r="B37" s="97" t="s">
        <v>172</v>
      </c>
      <c r="C37" s="19" t="s">
        <v>109</v>
      </c>
      <c r="D37" s="97" t="s">
        <v>131</v>
      </c>
      <c r="E37" s="97" t="s">
        <v>133</v>
      </c>
      <c r="F37" s="97" t="s">
        <v>112</v>
      </c>
      <c r="G37" s="97">
        <v>15</v>
      </c>
      <c r="H37" s="97">
        <v>621</v>
      </c>
      <c r="I37" s="97">
        <v>1488</v>
      </c>
      <c r="J37" s="97">
        <f t="shared" si="0"/>
        <v>9315</v>
      </c>
      <c r="K37" s="97">
        <f t="shared" si="1"/>
        <v>22320</v>
      </c>
      <c r="L37" s="97">
        <f t="shared" si="2"/>
        <v>13005</v>
      </c>
      <c r="M37" s="97" t="str">
        <f t="shared" si="6"/>
        <v>profit</v>
      </c>
      <c r="N37" s="100" t="b">
        <f t="shared" si="7"/>
        <v>0</v>
      </c>
      <c r="V37" s="99">
        <v>45678</v>
      </c>
      <c r="W37" s="97" t="s">
        <v>190</v>
      </c>
      <c r="X37" s="19" t="s">
        <v>109</v>
      </c>
      <c r="Y37" s="97" t="s">
        <v>131</v>
      </c>
      <c r="Z37" s="97" t="s">
        <v>111</v>
      </c>
      <c r="AA37" s="97" t="s">
        <v>112</v>
      </c>
      <c r="AB37" s="97">
        <v>20</v>
      </c>
      <c r="AC37" s="97">
        <v>900</v>
      </c>
      <c r="AD37" s="97">
        <v>1431</v>
      </c>
      <c r="AE37" s="97">
        <f t="shared" si="17"/>
        <v>18000</v>
      </c>
      <c r="AF37" s="97">
        <f t="shared" si="28"/>
        <v>28620</v>
      </c>
      <c r="AG37" s="97">
        <f t="shared" si="18"/>
        <v>10620</v>
      </c>
      <c r="AH37" s="97" t="str">
        <f t="shared" si="20"/>
        <v>profit</v>
      </c>
      <c r="AI37" s="100" t="b">
        <f t="shared" si="21"/>
        <v>0</v>
      </c>
    </row>
    <row r="38" spans="1:35" x14ac:dyDescent="0.3">
      <c r="A38" s="99">
        <v>45562</v>
      </c>
      <c r="B38" s="97" t="s">
        <v>173</v>
      </c>
      <c r="C38" s="19" t="s">
        <v>109</v>
      </c>
      <c r="D38" s="97" t="s">
        <v>110</v>
      </c>
      <c r="E38" s="97" t="s">
        <v>129</v>
      </c>
      <c r="F38" s="97" t="s">
        <v>123</v>
      </c>
      <c r="G38" s="97">
        <v>16</v>
      </c>
      <c r="H38" s="97">
        <v>963</v>
      </c>
      <c r="I38" s="97">
        <v>1186</v>
      </c>
      <c r="J38" s="97">
        <f t="shared" si="0"/>
        <v>15408</v>
      </c>
      <c r="K38" s="97">
        <f t="shared" si="1"/>
        <v>18976</v>
      </c>
      <c r="L38" s="97">
        <f t="shared" si="2"/>
        <v>3568</v>
      </c>
      <c r="M38" s="97" t="str">
        <f t="shared" si="6"/>
        <v>profit</v>
      </c>
      <c r="N38" s="100" t="b">
        <f t="shared" si="7"/>
        <v>0</v>
      </c>
      <c r="V38" s="99">
        <v>45565</v>
      </c>
      <c r="W38" s="97" t="s">
        <v>216</v>
      </c>
      <c r="X38" s="19" t="s">
        <v>109</v>
      </c>
      <c r="Y38" s="97" t="s">
        <v>110</v>
      </c>
      <c r="Z38" s="97" t="s">
        <v>155</v>
      </c>
      <c r="AA38" s="97" t="s">
        <v>112</v>
      </c>
      <c r="AB38" s="97">
        <v>15</v>
      </c>
      <c r="AC38" s="97">
        <v>825</v>
      </c>
      <c r="AD38" s="97">
        <v>947</v>
      </c>
      <c r="AE38" s="97">
        <f t="shared" si="17"/>
        <v>12375</v>
      </c>
      <c r="AF38" s="97">
        <f t="shared" si="28"/>
        <v>14205</v>
      </c>
      <c r="AG38" s="97">
        <f t="shared" si="18"/>
        <v>1830</v>
      </c>
      <c r="AH38" s="97" t="str">
        <f t="shared" si="20"/>
        <v>profit</v>
      </c>
      <c r="AI38" s="100" t="b">
        <f t="shared" si="21"/>
        <v>0</v>
      </c>
    </row>
    <row r="39" spans="1:35" x14ac:dyDescent="0.3">
      <c r="A39" s="99">
        <v>45564</v>
      </c>
      <c r="B39" s="97" t="s">
        <v>174</v>
      </c>
      <c r="C39" s="19" t="s">
        <v>109</v>
      </c>
      <c r="D39" s="97" t="s">
        <v>110</v>
      </c>
      <c r="E39" s="97" t="s">
        <v>133</v>
      </c>
      <c r="F39" s="97" t="s">
        <v>112</v>
      </c>
      <c r="G39" s="97">
        <v>13</v>
      </c>
      <c r="H39" s="97">
        <v>762</v>
      </c>
      <c r="I39" s="97">
        <v>1311</v>
      </c>
      <c r="J39" s="97">
        <f t="shared" si="0"/>
        <v>9906</v>
      </c>
      <c r="K39" s="97">
        <f t="shared" si="1"/>
        <v>17043</v>
      </c>
      <c r="L39" s="97">
        <f t="shared" si="2"/>
        <v>7137</v>
      </c>
      <c r="M39" s="97" t="str">
        <f t="shared" si="6"/>
        <v>profit</v>
      </c>
      <c r="N39" s="100" t="b">
        <f t="shared" si="7"/>
        <v>0</v>
      </c>
      <c r="V39" s="99">
        <v>45392</v>
      </c>
      <c r="W39" s="97" t="s">
        <v>225</v>
      </c>
      <c r="X39" s="19" t="s">
        <v>139</v>
      </c>
      <c r="Y39" s="97" t="s">
        <v>140</v>
      </c>
      <c r="Z39" s="97" t="s">
        <v>129</v>
      </c>
      <c r="AA39" s="97" t="s">
        <v>112</v>
      </c>
      <c r="AB39" s="97">
        <v>24</v>
      </c>
      <c r="AC39" s="97">
        <v>903</v>
      </c>
      <c r="AD39" s="97">
        <v>1338</v>
      </c>
      <c r="AE39" s="97">
        <f t="shared" ref="AE39:AE81" si="29">AB39*AC39</f>
        <v>21672</v>
      </c>
      <c r="AF39" s="97">
        <f t="shared" ref="AF39" si="30">AB39*AD39</f>
        <v>32112</v>
      </c>
      <c r="AG39" s="97">
        <f t="shared" ref="AG39:AG81" si="31">AF39-AE39</f>
        <v>10440</v>
      </c>
      <c r="AH39" s="97" t="str">
        <f t="shared" ref="AH39:AH81" si="32">IF(AG39&gt;0,"profit","loss")</f>
        <v>profit</v>
      </c>
      <c r="AI39" s="100" t="b">
        <f t="shared" ref="AI39:AI81" si="33">AND(AG39&gt;0,AE39&gt;20000)</f>
        <v>1</v>
      </c>
    </row>
    <row r="40" spans="1:35" x14ac:dyDescent="0.3">
      <c r="A40" s="99">
        <v>45566</v>
      </c>
      <c r="B40" s="97" t="s">
        <v>175</v>
      </c>
      <c r="C40" s="19" t="s">
        <v>109</v>
      </c>
      <c r="D40" s="97" t="s">
        <v>110</v>
      </c>
      <c r="E40" s="97" t="s">
        <v>155</v>
      </c>
      <c r="F40" s="97" t="s">
        <v>112</v>
      </c>
      <c r="G40" s="97">
        <v>14</v>
      </c>
      <c r="H40" s="97">
        <v>909</v>
      </c>
      <c r="I40" s="97">
        <v>780</v>
      </c>
      <c r="J40" s="97">
        <f t="shared" si="0"/>
        <v>12726</v>
      </c>
      <c r="K40" s="97">
        <f t="shared" si="1"/>
        <v>10920</v>
      </c>
      <c r="L40" s="97">
        <f t="shared" si="2"/>
        <v>-1806</v>
      </c>
      <c r="M40" s="97" t="str">
        <f t="shared" si="6"/>
        <v>loss</v>
      </c>
      <c r="N40" s="100" t="b">
        <f t="shared" si="7"/>
        <v>0</v>
      </c>
      <c r="V40" s="99">
        <v>45393</v>
      </c>
      <c r="W40" s="97" t="s">
        <v>226</v>
      </c>
      <c r="X40" s="19" t="s">
        <v>139</v>
      </c>
      <c r="Y40" s="97" t="s">
        <v>140</v>
      </c>
      <c r="Z40" s="97" t="s">
        <v>133</v>
      </c>
      <c r="AA40" s="97" t="s">
        <v>112</v>
      </c>
      <c r="AB40" s="97">
        <v>21</v>
      </c>
      <c r="AC40" s="97">
        <v>829</v>
      </c>
      <c r="AD40" s="97">
        <v>950</v>
      </c>
      <c r="AE40" s="97">
        <f t="shared" si="29"/>
        <v>17409</v>
      </c>
      <c r="AF40" s="97" t="s">
        <v>340</v>
      </c>
      <c r="AG40" s="97" t="e">
        <f t="shared" si="31"/>
        <v>#VALUE!</v>
      </c>
      <c r="AH40" s="97" t="e">
        <f t="shared" si="32"/>
        <v>#VALUE!</v>
      </c>
      <c r="AI40" s="100" t="e">
        <f t="shared" si="33"/>
        <v>#VALUE!</v>
      </c>
    </row>
    <row r="41" spans="1:35" x14ac:dyDescent="0.3">
      <c r="A41" s="99">
        <v>45567</v>
      </c>
      <c r="B41" s="97" t="s">
        <v>176</v>
      </c>
      <c r="C41" s="19" t="s">
        <v>109</v>
      </c>
      <c r="D41" s="97" t="s">
        <v>110</v>
      </c>
      <c r="E41" s="97" t="s">
        <v>151</v>
      </c>
      <c r="F41" s="97" t="s">
        <v>112</v>
      </c>
      <c r="G41" s="97">
        <v>11</v>
      </c>
      <c r="H41" s="97">
        <v>858</v>
      </c>
      <c r="I41" s="97">
        <v>1080</v>
      </c>
      <c r="J41" s="97">
        <f t="shared" si="0"/>
        <v>9438</v>
      </c>
      <c r="K41" s="97">
        <f t="shared" si="1"/>
        <v>11880</v>
      </c>
      <c r="L41" s="97">
        <f t="shared" si="2"/>
        <v>2442</v>
      </c>
      <c r="M41" s="97" t="str">
        <f t="shared" si="6"/>
        <v>profit</v>
      </c>
      <c r="N41" s="100" t="b">
        <f t="shared" si="7"/>
        <v>0</v>
      </c>
      <c r="V41" s="99">
        <v>45404</v>
      </c>
      <c r="W41" s="97" t="s">
        <v>231</v>
      </c>
      <c r="X41" s="19" t="s">
        <v>139</v>
      </c>
      <c r="Y41" s="97" t="s">
        <v>154</v>
      </c>
      <c r="Z41" s="97" t="s">
        <v>133</v>
      </c>
      <c r="AA41" s="97" t="s">
        <v>123</v>
      </c>
      <c r="AB41" s="97">
        <v>26</v>
      </c>
      <c r="AC41" s="97">
        <v>942</v>
      </c>
      <c r="AD41" s="97">
        <v>1143</v>
      </c>
      <c r="AE41" s="97">
        <f t="shared" si="29"/>
        <v>24492</v>
      </c>
      <c r="AF41" s="97">
        <f t="shared" ref="AF41:AF47" si="34">AB41*AD41</f>
        <v>29718</v>
      </c>
      <c r="AG41" s="97">
        <f t="shared" si="31"/>
        <v>5226</v>
      </c>
      <c r="AH41" s="97" t="str">
        <f t="shared" si="32"/>
        <v>profit</v>
      </c>
      <c r="AI41" s="100" t="b">
        <f t="shared" si="33"/>
        <v>1</v>
      </c>
    </row>
    <row r="42" spans="1:35" x14ac:dyDescent="0.3">
      <c r="A42" s="99">
        <v>45568</v>
      </c>
      <c r="B42" s="97" t="s">
        <v>177</v>
      </c>
      <c r="C42" s="19" t="s">
        <v>109</v>
      </c>
      <c r="D42" s="97" t="s">
        <v>110</v>
      </c>
      <c r="E42" s="97" t="s">
        <v>133</v>
      </c>
      <c r="F42" s="97" t="s">
        <v>112</v>
      </c>
      <c r="G42" s="97">
        <v>12</v>
      </c>
      <c r="H42" s="97">
        <v>516</v>
      </c>
      <c r="I42" s="97">
        <v>857</v>
      </c>
      <c r="J42" s="97">
        <f t="shared" si="0"/>
        <v>6192</v>
      </c>
      <c r="K42" s="97">
        <f t="shared" si="1"/>
        <v>10284</v>
      </c>
      <c r="L42" s="97">
        <f t="shared" si="2"/>
        <v>4092</v>
      </c>
      <c r="M42" s="97" t="str">
        <f t="shared" si="6"/>
        <v>profit</v>
      </c>
      <c r="N42" s="100" t="b">
        <f t="shared" si="7"/>
        <v>0</v>
      </c>
      <c r="V42" s="99">
        <v>45588</v>
      </c>
      <c r="W42" s="97" t="s">
        <v>232</v>
      </c>
      <c r="X42" s="19" t="s">
        <v>139</v>
      </c>
      <c r="Y42" s="97" t="s">
        <v>140</v>
      </c>
      <c r="Z42" s="97" t="s">
        <v>155</v>
      </c>
      <c r="AA42" s="97" t="s">
        <v>112</v>
      </c>
      <c r="AB42" s="97">
        <v>30</v>
      </c>
      <c r="AC42" s="97">
        <v>869</v>
      </c>
      <c r="AD42" s="97">
        <v>1033</v>
      </c>
      <c r="AE42" s="97">
        <f t="shared" si="29"/>
        <v>26070</v>
      </c>
      <c r="AF42" s="97">
        <f t="shared" si="34"/>
        <v>30990</v>
      </c>
      <c r="AG42" s="97">
        <f t="shared" si="31"/>
        <v>4920</v>
      </c>
      <c r="AH42" s="97" t="str">
        <f t="shared" si="32"/>
        <v>profit</v>
      </c>
      <c r="AI42" s="100" t="b">
        <f t="shared" si="33"/>
        <v>1</v>
      </c>
    </row>
    <row r="43" spans="1:35" x14ac:dyDescent="0.3">
      <c r="A43" s="99">
        <v>45580</v>
      </c>
      <c r="B43" s="97" t="s">
        <v>178</v>
      </c>
      <c r="C43" s="19" t="s">
        <v>109</v>
      </c>
      <c r="D43" s="97" t="s">
        <v>131</v>
      </c>
      <c r="E43" s="97" t="s">
        <v>125</v>
      </c>
      <c r="F43" s="97" t="s">
        <v>123</v>
      </c>
      <c r="G43" s="97">
        <v>20</v>
      </c>
      <c r="H43" s="97">
        <v>817</v>
      </c>
      <c r="I43" s="97">
        <v>1324</v>
      </c>
      <c r="J43" s="97">
        <f t="shared" si="0"/>
        <v>16340</v>
      </c>
      <c r="K43" s="97">
        <f t="shared" si="1"/>
        <v>26480</v>
      </c>
      <c r="L43" s="97">
        <f t="shared" si="2"/>
        <v>10140</v>
      </c>
      <c r="M43" s="97" t="str">
        <f t="shared" si="6"/>
        <v>profit</v>
      </c>
      <c r="N43" s="100" t="b">
        <f t="shared" si="7"/>
        <v>0</v>
      </c>
      <c r="V43" s="99">
        <v>45406</v>
      </c>
      <c r="W43" s="97" t="s">
        <v>233</v>
      </c>
      <c r="X43" s="19" t="s">
        <v>139</v>
      </c>
      <c r="Y43" s="97" t="s">
        <v>154</v>
      </c>
      <c r="Z43" s="97" t="s">
        <v>155</v>
      </c>
      <c r="AA43" s="97" t="s">
        <v>123</v>
      </c>
      <c r="AB43" s="97">
        <v>20</v>
      </c>
      <c r="AC43" s="97">
        <v>606</v>
      </c>
      <c r="AD43" s="97">
        <v>806</v>
      </c>
      <c r="AE43" s="97">
        <f t="shared" si="29"/>
        <v>12120</v>
      </c>
      <c r="AF43" s="97">
        <f t="shared" si="34"/>
        <v>16120</v>
      </c>
      <c r="AG43" s="97">
        <f t="shared" si="31"/>
        <v>4000</v>
      </c>
      <c r="AH43" s="97" t="str">
        <f t="shared" si="32"/>
        <v>profit</v>
      </c>
      <c r="AI43" s="100" t="b">
        <f t="shared" si="33"/>
        <v>0</v>
      </c>
    </row>
    <row r="44" spans="1:35" x14ac:dyDescent="0.3">
      <c r="A44" s="99">
        <v>45581</v>
      </c>
      <c r="B44" s="97" t="s">
        <v>179</v>
      </c>
      <c r="C44" s="19" t="s">
        <v>109</v>
      </c>
      <c r="D44" s="97" t="s">
        <v>131</v>
      </c>
      <c r="E44" s="97" t="s">
        <v>120</v>
      </c>
      <c r="F44" s="97" t="s">
        <v>123</v>
      </c>
      <c r="G44" s="97">
        <v>16</v>
      </c>
      <c r="H44" s="97">
        <v>935</v>
      </c>
      <c r="I44" s="97">
        <v>980</v>
      </c>
      <c r="J44" s="97">
        <f t="shared" si="0"/>
        <v>14960</v>
      </c>
      <c r="K44" s="97">
        <f t="shared" si="1"/>
        <v>15680</v>
      </c>
      <c r="L44" s="97">
        <f t="shared" si="2"/>
        <v>720</v>
      </c>
      <c r="M44" s="97" t="str">
        <f t="shared" si="6"/>
        <v>profit</v>
      </c>
      <c r="N44" s="100" t="b">
        <f t="shared" si="7"/>
        <v>0</v>
      </c>
      <c r="V44" s="99">
        <v>45590</v>
      </c>
      <c r="W44" s="97" t="s">
        <v>234</v>
      </c>
      <c r="X44" s="19" t="s">
        <v>139</v>
      </c>
      <c r="Y44" s="97" t="s">
        <v>220</v>
      </c>
      <c r="Z44" s="97" t="s">
        <v>133</v>
      </c>
      <c r="AA44" s="97" t="s">
        <v>123</v>
      </c>
      <c r="AB44" s="97">
        <v>20</v>
      </c>
      <c r="AC44" s="97">
        <v>979</v>
      </c>
      <c r="AD44" s="97">
        <v>1471</v>
      </c>
      <c r="AE44" s="97">
        <f t="shared" si="29"/>
        <v>19580</v>
      </c>
      <c r="AF44" s="97">
        <f t="shared" si="34"/>
        <v>29420</v>
      </c>
      <c r="AG44" s="97">
        <f t="shared" si="31"/>
        <v>9840</v>
      </c>
      <c r="AH44" s="97" t="str">
        <f t="shared" si="32"/>
        <v>profit</v>
      </c>
      <c r="AI44" s="100" t="b">
        <f t="shared" si="33"/>
        <v>0</v>
      </c>
    </row>
    <row r="45" spans="1:35" x14ac:dyDescent="0.3">
      <c r="A45" s="99">
        <v>45582</v>
      </c>
      <c r="B45" s="97" t="s">
        <v>180</v>
      </c>
      <c r="C45" s="19" t="s">
        <v>109</v>
      </c>
      <c r="D45" s="97" t="s">
        <v>131</v>
      </c>
      <c r="E45" s="97" t="s">
        <v>166</v>
      </c>
      <c r="F45" s="97" t="s">
        <v>123</v>
      </c>
      <c r="G45" s="97">
        <v>17</v>
      </c>
      <c r="H45" s="97">
        <v>642</v>
      </c>
      <c r="I45" s="97">
        <v>1095</v>
      </c>
      <c r="J45" s="97">
        <f t="shared" si="0"/>
        <v>10914</v>
      </c>
      <c r="K45" s="97">
        <f t="shared" si="1"/>
        <v>18615</v>
      </c>
      <c r="L45" s="97">
        <f t="shared" si="2"/>
        <v>7701</v>
      </c>
      <c r="M45" s="97" t="str">
        <f t="shared" si="6"/>
        <v>profit</v>
      </c>
      <c r="N45" s="100" t="b">
        <f t="shared" si="7"/>
        <v>0</v>
      </c>
      <c r="V45" s="99">
        <v>45408</v>
      </c>
      <c r="W45" s="97" t="s">
        <v>235</v>
      </c>
      <c r="X45" s="19" t="s">
        <v>139</v>
      </c>
      <c r="Y45" s="97" t="s">
        <v>154</v>
      </c>
      <c r="Z45" s="97" t="s">
        <v>133</v>
      </c>
      <c r="AA45" s="97" t="s">
        <v>112</v>
      </c>
      <c r="AB45" s="97">
        <v>22</v>
      </c>
      <c r="AC45" s="97">
        <v>822</v>
      </c>
      <c r="AD45" s="97">
        <v>1153</v>
      </c>
      <c r="AE45" s="97">
        <f t="shared" si="29"/>
        <v>18084</v>
      </c>
      <c r="AF45" s="97">
        <f t="shared" si="34"/>
        <v>25366</v>
      </c>
      <c r="AG45" s="97">
        <f t="shared" si="31"/>
        <v>7282</v>
      </c>
      <c r="AH45" s="97" t="str">
        <f t="shared" si="32"/>
        <v>profit</v>
      </c>
      <c r="AI45" s="100" t="b">
        <f t="shared" si="33"/>
        <v>0</v>
      </c>
    </row>
    <row r="46" spans="1:35" x14ac:dyDescent="0.3">
      <c r="A46" s="99">
        <v>45584</v>
      </c>
      <c r="B46" s="97" t="s">
        <v>181</v>
      </c>
      <c r="C46" s="19" t="s">
        <v>109</v>
      </c>
      <c r="D46" s="97" t="s">
        <v>131</v>
      </c>
      <c r="E46" s="97" t="s">
        <v>129</v>
      </c>
      <c r="F46" s="97" t="s">
        <v>112</v>
      </c>
      <c r="G46" s="97">
        <v>18</v>
      </c>
      <c r="H46" s="97">
        <v>596</v>
      </c>
      <c r="I46" s="97">
        <v>817</v>
      </c>
      <c r="J46" s="97">
        <f t="shared" si="0"/>
        <v>10728</v>
      </c>
      <c r="K46" s="97">
        <f t="shared" si="1"/>
        <v>14706</v>
      </c>
      <c r="L46" s="97">
        <f t="shared" si="2"/>
        <v>3978</v>
      </c>
      <c r="M46" s="97" t="str">
        <f t="shared" si="6"/>
        <v>profit</v>
      </c>
      <c r="N46" s="100" t="b">
        <f t="shared" si="7"/>
        <v>0</v>
      </c>
      <c r="V46" s="99">
        <v>45410</v>
      </c>
      <c r="W46" s="97" t="s">
        <v>237</v>
      </c>
      <c r="X46" s="19" t="s">
        <v>139</v>
      </c>
      <c r="Y46" s="97" t="s">
        <v>154</v>
      </c>
      <c r="Z46" s="97" t="s">
        <v>200</v>
      </c>
      <c r="AA46" s="97" t="s">
        <v>112</v>
      </c>
      <c r="AB46" s="97">
        <v>23</v>
      </c>
      <c r="AC46" s="97">
        <v>649</v>
      </c>
      <c r="AD46" s="97">
        <v>1210</v>
      </c>
      <c r="AE46" s="97">
        <f t="shared" si="29"/>
        <v>14927</v>
      </c>
      <c r="AF46" s="97">
        <f t="shared" si="34"/>
        <v>27830</v>
      </c>
      <c r="AG46" s="97">
        <f t="shared" si="31"/>
        <v>12903</v>
      </c>
      <c r="AH46" s="97" t="str">
        <f t="shared" si="32"/>
        <v>profit</v>
      </c>
      <c r="AI46" s="100" t="b">
        <f t="shared" si="33"/>
        <v>0</v>
      </c>
    </row>
    <row r="47" spans="1:35" x14ac:dyDescent="0.3">
      <c r="A47" s="99">
        <v>45585</v>
      </c>
      <c r="B47" s="97" t="s">
        <v>182</v>
      </c>
      <c r="C47" s="19" t="s">
        <v>109</v>
      </c>
      <c r="D47" s="97" t="s">
        <v>131</v>
      </c>
      <c r="E47" s="97" t="s">
        <v>133</v>
      </c>
      <c r="F47" s="97" t="s">
        <v>112</v>
      </c>
      <c r="G47" s="97">
        <v>14</v>
      </c>
      <c r="H47" s="97">
        <v>533</v>
      </c>
      <c r="I47" s="97">
        <v>922</v>
      </c>
      <c r="J47" s="97">
        <f t="shared" si="0"/>
        <v>7462</v>
      </c>
      <c r="K47" s="97">
        <f t="shared" si="1"/>
        <v>12908</v>
      </c>
      <c r="L47" s="97">
        <f t="shared" si="2"/>
        <v>5446</v>
      </c>
      <c r="M47" s="97" t="str">
        <f t="shared" si="6"/>
        <v>profit</v>
      </c>
      <c r="N47" s="100" t="b">
        <f t="shared" si="7"/>
        <v>0</v>
      </c>
      <c r="V47" s="99">
        <v>45412</v>
      </c>
      <c r="W47" s="97" t="s">
        <v>239</v>
      </c>
      <c r="X47" s="19" t="s">
        <v>139</v>
      </c>
      <c r="Y47" s="97" t="s">
        <v>154</v>
      </c>
      <c r="Z47" s="97" t="s">
        <v>240</v>
      </c>
      <c r="AA47" s="97" t="s">
        <v>112</v>
      </c>
      <c r="AB47" s="97">
        <v>30</v>
      </c>
      <c r="AC47" s="97">
        <v>843</v>
      </c>
      <c r="AD47" s="97">
        <v>953</v>
      </c>
      <c r="AE47" s="97">
        <f t="shared" si="29"/>
        <v>25290</v>
      </c>
      <c r="AF47" s="97">
        <f t="shared" si="34"/>
        <v>28590</v>
      </c>
      <c r="AG47" s="97">
        <f t="shared" si="31"/>
        <v>3300</v>
      </c>
      <c r="AH47" s="97" t="str">
        <f t="shared" si="32"/>
        <v>profit</v>
      </c>
      <c r="AI47" s="100" t="b">
        <f t="shared" si="33"/>
        <v>1</v>
      </c>
    </row>
    <row r="48" spans="1:35" x14ac:dyDescent="0.3">
      <c r="A48" s="99">
        <v>45587</v>
      </c>
      <c r="B48" s="97" t="s">
        <v>183</v>
      </c>
      <c r="C48" s="19" t="s">
        <v>109</v>
      </c>
      <c r="D48" s="97" t="s">
        <v>131</v>
      </c>
      <c r="E48" s="97" t="s">
        <v>155</v>
      </c>
      <c r="F48" s="97" t="s">
        <v>112</v>
      </c>
      <c r="G48" s="97">
        <v>19</v>
      </c>
      <c r="H48" s="97">
        <v>578</v>
      </c>
      <c r="I48" s="97">
        <v>1434</v>
      </c>
      <c r="J48" s="97">
        <f t="shared" si="0"/>
        <v>10982</v>
      </c>
      <c r="K48" s="97">
        <f t="shared" si="1"/>
        <v>27246</v>
      </c>
      <c r="L48" s="97">
        <f t="shared" si="2"/>
        <v>16264</v>
      </c>
      <c r="M48" s="97" t="str">
        <f t="shared" si="6"/>
        <v>profit</v>
      </c>
      <c r="N48" s="100" t="b">
        <f t="shared" si="7"/>
        <v>0</v>
      </c>
      <c r="V48" s="99">
        <v>45413</v>
      </c>
      <c r="W48" s="97" t="s">
        <v>241</v>
      </c>
      <c r="X48" s="19" t="s">
        <v>139</v>
      </c>
      <c r="Y48" s="97" t="s">
        <v>154</v>
      </c>
      <c r="Z48" s="97" t="s">
        <v>242</v>
      </c>
      <c r="AA48" s="97" t="s">
        <v>112</v>
      </c>
      <c r="AB48" s="97">
        <v>21</v>
      </c>
      <c r="AC48" s="97">
        <v>571</v>
      </c>
      <c r="AD48" s="97">
        <v>900</v>
      </c>
      <c r="AE48" s="97">
        <f t="shared" si="29"/>
        <v>11991</v>
      </c>
      <c r="AF48" s="97" t="s">
        <v>340</v>
      </c>
      <c r="AG48" s="97" t="e">
        <f t="shared" si="31"/>
        <v>#VALUE!</v>
      </c>
      <c r="AH48" s="97" t="e">
        <f t="shared" si="32"/>
        <v>#VALUE!</v>
      </c>
      <c r="AI48" s="100" t="e">
        <f t="shared" si="33"/>
        <v>#VALUE!</v>
      </c>
    </row>
    <row r="49" spans="1:35" x14ac:dyDescent="0.3">
      <c r="A49" s="99">
        <v>45659</v>
      </c>
      <c r="B49" s="97" t="s">
        <v>184</v>
      </c>
      <c r="C49" s="19" t="s">
        <v>109</v>
      </c>
      <c r="D49" s="97" t="s">
        <v>110</v>
      </c>
      <c r="E49" s="97" t="s">
        <v>120</v>
      </c>
      <c r="F49" s="97" t="s">
        <v>112</v>
      </c>
      <c r="G49" s="97">
        <v>14</v>
      </c>
      <c r="H49" s="97">
        <v>521</v>
      </c>
      <c r="I49" s="97">
        <v>974</v>
      </c>
      <c r="J49" s="97">
        <f t="shared" si="0"/>
        <v>7294</v>
      </c>
      <c r="K49" s="97">
        <f t="shared" si="1"/>
        <v>13636</v>
      </c>
      <c r="L49" s="97">
        <f t="shared" si="2"/>
        <v>6342</v>
      </c>
      <c r="M49" s="97" t="str">
        <f t="shared" si="6"/>
        <v>profit</v>
      </c>
      <c r="N49" s="100" t="b">
        <f t="shared" si="7"/>
        <v>0</v>
      </c>
      <c r="V49" s="99">
        <v>45414</v>
      </c>
      <c r="W49" s="97" t="s">
        <v>243</v>
      </c>
      <c r="X49" s="19" t="s">
        <v>139</v>
      </c>
      <c r="Y49" s="97" t="s">
        <v>154</v>
      </c>
      <c r="Z49" s="97" t="s">
        <v>111</v>
      </c>
      <c r="AA49" s="97" t="s">
        <v>123</v>
      </c>
      <c r="AB49" s="97">
        <v>25</v>
      </c>
      <c r="AC49" s="97">
        <v>909</v>
      </c>
      <c r="AD49" s="97">
        <v>970</v>
      </c>
      <c r="AE49" s="97">
        <f t="shared" si="29"/>
        <v>22725</v>
      </c>
      <c r="AF49" s="97">
        <f t="shared" ref="AF49:AF58" si="35">AB49*AD49</f>
        <v>24250</v>
      </c>
      <c r="AG49" s="97">
        <f t="shared" si="31"/>
        <v>1525</v>
      </c>
      <c r="AH49" s="97" t="str">
        <f t="shared" si="32"/>
        <v>profit</v>
      </c>
      <c r="AI49" s="100" t="b">
        <f t="shared" si="33"/>
        <v>1</v>
      </c>
    </row>
    <row r="50" spans="1:35" x14ac:dyDescent="0.3">
      <c r="A50" s="99">
        <v>45432</v>
      </c>
      <c r="B50" s="97" t="s">
        <v>185</v>
      </c>
      <c r="C50" s="19" t="s">
        <v>127</v>
      </c>
      <c r="D50" s="97" t="s">
        <v>186</v>
      </c>
      <c r="E50" s="97" t="s">
        <v>129</v>
      </c>
      <c r="F50" s="97" t="s">
        <v>123</v>
      </c>
      <c r="G50" s="97">
        <v>79</v>
      </c>
      <c r="H50" s="97">
        <v>616</v>
      </c>
      <c r="I50" s="97">
        <v>944</v>
      </c>
      <c r="J50" s="97">
        <f t="shared" si="0"/>
        <v>48664</v>
      </c>
      <c r="K50" s="97">
        <f t="shared" si="1"/>
        <v>74576</v>
      </c>
      <c r="L50" s="97">
        <f t="shared" si="2"/>
        <v>25912</v>
      </c>
      <c r="M50" s="97" t="str">
        <f t="shared" si="6"/>
        <v>profit</v>
      </c>
      <c r="N50" s="100" t="b">
        <f t="shared" si="7"/>
        <v>1</v>
      </c>
      <c r="V50" s="99">
        <v>45416</v>
      </c>
      <c r="W50" s="97" t="s">
        <v>245</v>
      </c>
      <c r="X50" s="19" t="s">
        <v>139</v>
      </c>
      <c r="Y50" s="97" t="s">
        <v>154</v>
      </c>
      <c r="Z50" s="97" t="s">
        <v>118</v>
      </c>
      <c r="AA50" s="97" t="s">
        <v>123</v>
      </c>
      <c r="AB50" s="97">
        <v>28</v>
      </c>
      <c r="AC50" s="97">
        <v>787</v>
      </c>
      <c r="AD50" s="97">
        <v>1452</v>
      </c>
      <c r="AE50" s="97">
        <f t="shared" si="29"/>
        <v>22036</v>
      </c>
      <c r="AF50" s="97">
        <f t="shared" si="35"/>
        <v>40656</v>
      </c>
      <c r="AG50" s="97">
        <f t="shared" si="31"/>
        <v>18620</v>
      </c>
      <c r="AH50" s="97" t="str">
        <f t="shared" si="32"/>
        <v>profit</v>
      </c>
      <c r="AI50" s="100" t="b">
        <f t="shared" si="33"/>
        <v>1</v>
      </c>
    </row>
    <row r="51" spans="1:35" x14ac:dyDescent="0.3">
      <c r="A51" s="99">
        <v>45661</v>
      </c>
      <c r="B51" s="97" t="s">
        <v>187</v>
      </c>
      <c r="C51" s="19" t="s">
        <v>109</v>
      </c>
      <c r="D51" s="97" t="s">
        <v>110</v>
      </c>
      <c r="E51" s="97" t="s">
        <v>161</v>
      </c>
      <c r="F51" s="97" t="s">
        <v>112</v>
      </c>
      <c r="G51" s="97">
        <v>14</v>
      </c>
      <c r="H51" s="97">
        <v>734</v>
      </c>
      <c r="I51" s="97">
        <v>1058</v>
      </c>
      <c r="J51" s="97">
        <f t="shared" si="0"/>
        <v>10276</v>
      </c>
      <c r="K51" s="97">
        <f t="shared" si="1"/>
        <v>14812</v>
      </c>
      <c r="L51" s="97">
        <f t="shared" si="2"/>
        <v>4536</v>
      </c>
      <c r="M51" s="97" t="str">
        <f t="shared" si="6"/>
        <v>profit</v>
      </c>
      <c r="N51" s="100" t="b">
        <f t="shared" si="7"/>
        <v>0</v>
      </c>
      <c r="V51" s="99">
        <v>45417</v>
      </c>
      <c r="W51" s="97" t="s">
        <v>246</v>
      </c>
      <c r="X51" s="19" t="s">
        <v>139</v>
      </c>
      <c r="Y51" s="97" t="s">
        <v>154</v>
      </c>
      <c r="Z51" s="97" t="s">
        <v>120</v>
      </c>
      <c r="AA51" s="97" t="s">
        <v>123</v>
      </c>
      <c r="AB51" s="97">
        <v>23</v>
      </c>
      <c r="AC51" s="97">
        <v>768</v>
      </c>
      <c r="AD51" s="97">
        <v>1102</v>
      </c>
      <c r="AE51" s="97">
        <f t="shared" si="29"/>
        <v>17664</v>
      </c>
      <c r="AF51" s="97">
        <f t="shared" si="35"/>
        <v>25346</v>
      </c>
      <c r="AG51" s="97">
        <f t="shared" si="31"/>
        <v>7682</v>
      </c>
      <c r="AH51" s="97" t="str">
        <f t="shared" si="32"/>
        <v>profit</v>
      </c>
      <c r="AI51" s="100" t="b">
        <f t="shared" si="33"/>
        <v>0</v>
      </c>
    </row>
    <row r="52" spans="1:35" x14ac:dyDescent="0.3">
      <c r="A52" s="99">
        <v>45663</v>
      </c>
      <c r="B52" s="97" t="s">
        <v>188</v>
      </c>
      <c r="C52" s="19" t="s">
        <v>109</v>
      </c>
      <c r="D52" s="97" t="s">
        <v>110</v>
      </c>
      <c r="E52" s="97" t="s">
        <v>115</v>
      </c>
      <c r="F52" s="97" t="s">
        <v>112</v>
      </c>
      <c r="G52" s="97">
        <v>20</v>
      </c>
      <c r="H52" s="97">
        <v>837</v>
      </c>
      <c r="I52" s="97">
        <v>1014</v>
      </c>
      <c r="J52" s="97">
        <f t="shared" si="0"/>
        <v>16740</v>
      </c>
      <c r="K52" s="97">
        <f t="shared" si="1"/>
        <v>20280</v>
      </c>
      <c r="L52" s="97">
        <f t="shared" si="2"/>
        <v>3540</v>
      </c>
      <c r="M52" s="97" t="str">
        <f t="shared" si="6"/>
        <v>profit</v>
      </c>
      <c r="N52" s="100" t="b">
        <f t="shared" si="7"/>
        <v>0</v>
      </c>
      <c r="V52" s="99">
        <v>45418</v>
      </c>
      <c r="W52" s="97" t="s">
        <v>247</v>
      </c>
      <c r="X52" s="19" t="s">
        <v>139</v>
      </c>
      <c r="Y52" s="97" t="s">
        <v>154</v>
      </c>
      <c r="Z52" s="97" t="s">
        <v>120</v>
      </c>
      <c r="AA52" s="97" t="s">
        <v>112</v>
      </c>
      <c r="AB52" s="97">
        <v>23</v>
      </c>
      <c r="AC52" s="97">
        <v>584</v>
      </c>
      <c r="AD52" s="97">
        <v>1168</v>
      </c>
      <c r="AE52" s="97">
        <f t="shared" si="29"/>
        <v>13432</v>
      </c>
      <c r="AF52" s="97">
        <f t="shared" si="35"/>
        <v>26864</v>
      </c>
      <c r="AG52" s="97">
        <f t="shared" si="31"/>
        <v>13432</v>
      </c>
      <c r="AH52" s="97" t="str">
        <f t="shared" si="32"/>
        <v>profit</v>
      </c>
      <c r="AI52" s="100" t="b">
        <f t="shared" si="33"/>
        <v>0</v>
      </c>
    </row>
    <row r="53" spans="1:35" x14ac:dyDescent="0.3">
      <c r="A53" s="99">
        <v>45665</v>
      </c>
      <c r="B53" s="97" t="s">
        <v>189</v>
      </c>
      <c r="C53" s="19" t="s">
        <v>109</v>
      </c>
      <c r="D53" s="97" t="s">
        <v>110</v>
      </c>
      <c r="E53" s="97" t="s">
        <v>120</v>
      </c>
      <c r="F53" s="97" t="s">
        <v>123</v>
      </c>
      <c r="G53" s="97">
        <v>11</v>
      </c>
      <c r="H53" s="97">
        <v>617</v>
      </c>
      <c r="I53" s="97">
        <v>1025</v>
      </c>
      <c r="J53" s="97">
        <f t="shared" si="0"/>
        <v>6787</v>
      </c>
      <c r="K53" s="97">
        <f t="shared" si="1"/>
        <v>11275</v>
      </c>
      <c r="L53" s="97">
        <f t="shared" si="2"/>
        <v>4488</v>
      </c>
      <c r="M53" s="97" t="str">
        <f t="shared" si="6"/>
        <v>profit</v>
      </c>
      <c r="N53" s="100" t="b">
        <f t="shared" si="7"/>
        <v>0</v>
      </c>
      <c r="V53" s="99">
        <v>45602</v>
      </c>
      <c r="W53" s="97" t="s">
        <v>248</v>
      </c>
      <c r="X53" s="19" t="s">
        <v>127</v>
      </c>
      <c r="Y53" s="97" t="s">
        <v>249</v>
      </c>
      <c r="Z53" s="97" t="s">
        <v>125</v>
      </c>
      <c r="AA53" s="97" t="s">
        <v>112</v>
      </c>
      <c r="AB53" s="97">
        <v>57</v>
      </c>
      <c r="AC53" s="97">
        <v>541</v>
      </c>
      <c r="AD53" s="97">
        <v>819</v>
      </c>
      <c r="AE53" s="97">
        <f t="shared" si="29"/>
        <v>30837</v>
      </c>
      <c r="AF53" s="97">
        <f t="shared" si="35"/>
        <v>46683</v>
      </c>
      <c r="AG53" s="97">
        <f t="shared" si="31"/>
        <v>15846</v>
      </c>
      <c r="AH53" s="97" t="str">
        <f t="shared" si="32"/>
        <v>profit</v>
      </c>
      <c r="AI53" s="100" t="b">
        <f t="shared" si="33"/>
        <v>1</v>
      </c>
    </row>
    <row r="54" spans="1:35" x14ac:dyDescent="0.3">
      <c r="A54" s="99">
        <v>45678</v>
      </c>
      <c r="B54" s="97" t="s">
        <v>190</v>
      </c>
      <c r="C54" s="19" t="s">
        <v>109</v>
      </c>
      <c r="D54" s="97" t="s">
        <v>131</v>
      </c>
      <c r="E54" s="97" t="s">
        <v>111</v>
      </c>
      <c r="F54" s="97" t="s">
        <v>112</v>
      </c>
      <c r="G54" s="97">
        <v>20</v>
      </c>
      <c r="H54" s="97">
        <v>749</v>
      </c>
      <c r="I54" s="97">
        <v>753</v>
      </c>
      <c r="J54" s="97">
        <f t="shared" si="0"/>
        <v>14980</v>
      </c>
      <c r="K54" s="97">
        <f t="shared" si="1"/>
        <v>15060</v>
      </c>
      <c r="L54" s="97">
        <f t="shared" si="2"/>
        <v>80</v>
      </c>
      <c r="M54" s="97" t="str">
        <f t="shared" si="6"/>
        <v>profit</v>
      </c>
      <c r="N54" s="100" t="b">
        <f t="shared" si="7"/>
        <v>0</v>
      </c>
      <c r="V54" s="99">
        <v>45420</v>
      </c>
      <c r="W54" s="97" t="s">
        <v>251</v>
      </c>
      <c r="X54" s="19" t="s">
        <v>139</v>
      </c>
      <c r="Y54" s="97" t="s">
        <v>205</v>
      </c>
      <c r="Z54" s="97" t="s">
        <v>125</v>
      </c>
      <c r="AA54" s="97" t="s">
        <v>112</v>
      </c>
      <c r="AB54" s="97">
        <v>26</v>
      </c>
      <c r="AC54" s="97">
        <v>595</v>
      </c>
      <c r="AD54" s="97">
        <v>914</v>
      </c>
      <c r="AE54" s="97">
        <f t="shared" si="29"/>
        <v>15470</v>
      </c>
      <c r="AF54" s="97">
        <f t="shared" si="35"/>
        <v>23764</v>
      </c>
      <c r="AG54" s="97">
        <f t="shared" si="31"/>
        <v>8294</v>
      </c>
      <c r="AH54" s="97" t="str">
        <f t="shared" si="32"/>
        <v>profit</v>
      </c>
      <c r="AI54" s="100" t="b">
        <f t="shared" si="33"/>
        <v>0</v>
      </c>
    </row>
    <row r="55" spans="1:35" x14ac:dyDescent="0.3">
      <c r="A55" s="99">
        <v>45679</v>
      </c>
      <c r="B55" s="97" t="s">
        <v>191</v>
      </c>
      <c r="C55" s="19" t="s">
        <v>109</v>
      </c>
      <c r="D55" s="97" t="s">
        <v>131</v>
      </c>
      <c r="E55" s="97" t="s">
        <v>115</v>
      </c>
      <c r="F55" s="97" t="s">
        <v>112</v>
      </c>
      <c r="G55" s="97">
        <v>15</v>
      </c>
      <c r="H55" s="97">
        <v>924</v>
      </c>
      <c r="I55" s="97">
        <v>1024</v>
      </c>
      <c r="J55" s="97">
        <f t="shared" si="0"/>
        <v>13860</v>
      </c>
      <c r="K55" s="97">
        <f t="shared" si="1"/>
        <v>15360</v>
      </c>
      <c r="L55" s="97">
        <f t="shared" si="2"/>
        <v>1500</v>
      </c>
      <c r="M55" s="97" t="str">
        <f t="shared" si="6"/>
        <v>profit</v>
      </c>
      <c r="N55" s="100" t="b">
        <f t="shared" si="7"/>
        <v>0</v>
      </c>
      <c r="V55" s="99">
        <v>45605</v>
      </c>
      <c r="W55" s="97" t="s">
        <v>252</v>
      </c>
      <c r="X55" s="19" t="s">
        <v>127</v>
      </c>
      <c r="Y55" s="97" t="s">
        <v>249</v>
      </c>
      <c r="Z55" s="97" t="s">
        <v>161</v>
      </c>
      <c r="AA55" s="97" t="s">
        <v>112</v>
      </c>
      <c r="AB55" s="97">
        <v>70</v>
      </c>
      <c r="AC55" s="97">
        <v>871</v>
      </c>
      <c r="AD55" s="97">
        <v>862</v>
      </c>
      <c r="AE55" s="97">
        <f t="shared" si="29"/>
        <v>60970</v>
      </c>
      <c r="AF55" s="97">
        <f t="shared" si="35"/>
        <v>60340</v>
      </c>
      <c r="AG55" s="97">
        <f t="shared" si="31"/>
        <v>-630</v>
      </c>
      <c r="AH55" s="97" t="str">
        <f t="shared" si="32"/>
        <v>loss</v>
      </c>
      <c r="AI55" s="100" t="b">
        <f t="shared" si="33"/>
        <v>0</v>
      </c>
    </row>
    <row r="56" spans="1:35" x14ac:dyDescent="0.3">
      <c r="A56" s="99">
        <v>45680</v>
      </c>
      <c r="B56" s="97" t="s">
        <v>192</v>
      </c>
      <c r="C56" s="19" t="s">
        <v>109</v>
      </c>
      <c r="D56" s="97" t="s">
        <v>131</v>
      </c>
      <c r="E56" s="97" t="s">
        <v>118</v>
      </c>
      <c r="F56" s="97" t="s">
        <v>112</v>
      </c>
      <c r="G56" s="97">
        <v>18</v>
      </c>
      <c r="H56" s="97">
        <v>601</v>
      </c>
      <c r="I56" s="97">
        <v>1246</v>
      </c>
      <c r="J56" s="97">
        <f t="shared" si="0"/>
        <v>10818</v>
      </c>
      <c r="K56" s="97">
        <f t="shared" si="1"/>
        <v>22428</v>
      </c>
      <c r="L56" s="97">
        <f t="shared" si="2"/>
        <v>11610</v>
      </c>
      <c r="M56" s="97" t="str">
        <f t="shared" si="6"/>
        <v>profit</v>
      </c>
      <c r="N56" s="100" t="b">
        <f t="shared" si="7"/>
        <v>0</v>
      </c>
      <c r="V56" s="99">
        <v>45421</v>
      </c>
      <c r="W56" s="97" t="s">
        <v>253</v>
      </c>
      <c r="X56" s="19" t="s">
        <v>139</v>
      </c>
      <c r="Y56" s="97" t="s">
        <v>205</v>
      </c>
      <c r="Z56" s="97" t="s">
        <v>120</v>
      </c>
      <c r="AA56" s="97" t="s">
        <v>112</v>
      </c>
      <c r="AB56" s="97">
        <v>27</v>
      </c>
      <c r="AC56" s="97">
        <v>722</v>
      </c>
      <c r="AD56" s="97">
        <v>1497</v>
      </c>
      <c r="AE56" s="97">
        <f t="shared" si="29"/>
        <v>19494</v>
      </c>
      <c r="AF56" s="97">
        <f t="shared" si="35"/>
        <v>40419</v>
      </c>
      <c r="AG56" s="97">
        <f t="shared" si="31"/>
        <v>20925</v>
      </c>
      <c r="AH56" s="97" t="str">
        <f t="shared" si="32"/>
        <v>profit</v>
      </c>
      <c r="AI56" s="100" t="b">
        <f t="shared" si="33"/>
        <v>0</v>
      </c>
    </row>
    <row r="57" spans="1:35" x14ac:dyDescent="0.3">
      <c r="A57" s="99">
        <v>45681</v>
      </c>
      <c r="B57" s="97" t="s">
        <v>193</v>
      </c>
      <c r="C57" s="19" t="s">
        <v>109</v>
      </c>
      <c r="D57" s="97" t="s">
        <v>131</v>
      </c>
      <c r="E57" s="97" t="s">
        <v>120</v>
      </c>
      <c r="F57" s="97" t="s">
        <v>112</v>
      </c>
      <c r="G57" s="97">
        <v>17</v>
      </c>
      <c r="H57" s="97">
        <v>626</v>
      </c>
      <c r="I57" s="97">
        <v>1462</v>
      </c>
      <c r="J57" s="97">
        <f t="shared" si="0"/>
        <v>10642</v>
      </c>
      <c r="K57" s="97">
        <f t="shared" si="1"/>
        <v>24854</v>
      </c>
      <c r="L57" s="97">
        <f t="shared" si="2"/>
        <v>14212</v>
      </c>
      <c r="M57" s="97" t="str">
        <f t="shared" si="6"/>
        <v>profit</v>
      </c>
      <c r="N57" s="100" t="b">
        <f t="shared" si="7"/>
        <v>0</v>
      </c>
      <c r="V57" s="99">
        <v>45422</v>
      </c>
      <c r="W57" s="97" t="s">
        <v>254</v>
      </c>
      <c r="X57" s="19" t="s">
        <v>139</v>
      </c>
      <c r="Y57" s="97" t="s">
        <v>205</v>
      </c>
      <c r="Z57" s="97" t="s">
        <v>166</v>
      </c>
      <c r="AA57" s="97" t="s">
        <v>112</v>
      </c>
      <c r="AB57" s="97">
        <v>25</v>
      </c>
      <c r="AC57" s="97">
        <v>982</v>
      </c>
      <c r="AD57" s="97">
        <v>1395</v>
      </c>
      <c r="AE57" s="97">
        <f t="shared" si="29"/>
        <v>24550</v>
      </c>
      <c r="AF57" s="97">
        <f t="shared" si="35"/>
        <v>34875</v>
      </c>
      <c r="AG57" s="97">
        <f t="shared" si="31"/>
        <v>10325</v>
      </c>
      <c r="AH57" s="97" t="str">
        <f t="shared" si="32"/>
        <v>profit</v>
      </c>
      <c r="AI57" s="100" t="b">
        <f t="shared" si="33"/>
        <v>1</v>
      </c>
    </row>
    <row r="58" spans="1:35" x14ac:dyDescent="0.3">
      <c r="A58" s="99">
        <v>45682</v>
      </c>
      <c r="B58" s="97" t="s">
        <v>194</v>
      </c>
      <c r="C58" s="19" t="s">
        <v>109</v>
      </c>
      <c r="D58" s="97" t="s">
        <v>131</v>
      </c>
      <c r="E58" s="97" t="s">
        <v>120</v>
      </c>
      <c r="F58" s="97" t="s">
        <v>112</v>
      </c>
      <c r="G58" s="97">
        <v>13</v>
      </c>
      <c r="H58" s="97">
        <v>542</v>
      </c>
      <c r="I58" s="97">
        <v>853</v>
      </c>
      <c r="J58" s="97">
        <f t="shared" si="0"/>
        <v>7046</v>
      </c>
      <c r="K58" s="97">
        <f t="shared" si="1"/>
        <v>11089</v>
      </c>
      <c r="L58" s="97">
        <f t="shared" si="2"/>
        <v>4043</v>
      </c>
      <c r="M58" s="97" t="str">
        <f t="shared" si="6"/>
        <v>profit</v>
      </c>
      <c r="N58" s="100" t="b">
        <f t="shared" si="7"/>
        <v>0</v>
      </c>
      <c r="V58" s="99">
        <v>45423</v>
      </c>
      <c r="W58" s="97" t="s">
        <v>255</v>
      </c>
      <c r="X58" s="19" t="s">
        <v>139</v>
      </c>
      <c r="Y58" s="97" t="s">
        <v>205</v>
      </c>
      <c r="Z58" s="97" t="s">
        <v>161</v>
      </c>
      <c r="AA58" s="97" t="s">
        <v>112</v>
      </c>
      <c r="AB58" s="97">
        <v>25</v>
      </c>
      <c r="AC58" s="97">
        <v>982</v>
      </c>
      <c r="AD58" s="97">
        <v>1389</v>
      </c>
      <c r="AE58" s="97">
        <f t="shared" si="29"/>
        <v>24550</v>
      </c>
      <c r="AF58" s="97">
        <f t="shared" si="35"/>
        <v>34725</v>
      </c>
      <c r="AG58" s="97">
        <f t="shared" si="31"/>
        <v>10175</v>
      </c>
      <c r="AH58" s="97" t="str">
        <f t="shared" si="32"/>
        <v>profit</v>
      </c>
      <c r="AI58" s="100" t="b">
        <f t="shared" si="33"/>
        <v>1</v>
      </c>
    </row>
    <row r="59" spans="1:35" x14ac:dyDescent="0.3">
      <c r="A59" s="99">
        <v>45441</v>
      </c>
      <c r="B59" s="97" t="s">
        <v>195</v>
      </c>
      <c r="C59" s="19" t="s">
        <v>127</v>
      </c>
      <c r="D59" s="97" t="s">
        <v>186</v>
      </c>
      <c r="E59" s="97" t="s">
        <v>146</v>
      </c>
      <c r="F59" s="97" t="s">
        <v>123</v>
      </c>
      <c r="G59" s="97">
        <v>50</v>
      </c>
      <c r="H59" s="97">
        <v>639</v>
      </c>
      <c r="I59" s="97">
        <v>789</v>
      </c>
      <c r="J59" s="97">
        <f t="shared" si="0"/>
        <v>31950</v>
      </c>
      <c r="K59" s="97">
        <f t="shared" si="1"/>
        <v>39450</v>
      </c>
      <c r="L59" s="97">
        <f t="shared" si="2"/>
        <v>7500</v>
      </c>
      <c r="M59" s="97" t="str">
        <f t="shared" si="6"/>
        <v>profit</v>
      </c>
      <c r="N59" s="100" t="b">
        <f t="shared" si="7"/>
        <v>1</v>
      </c>
      <c r="V59" s="99">
        <v>45424</v>
      </c>
      <c r="W59" s="97" t="s">
        <v>256</v>
      </c>
      <c r="X59" s="19" t="s">
        <v>139</v>
      </c>
      <c r="Y59" s="97" t="s">
        <v>205</v>
      </c>
      <c r="Z59" s="97" t="s">
        <v>137</v>
      </c>
      <c r="AA59" s="97" t="s">
        <v>112</v>
      </c>
      <c r="AB59" s="97">
        <v>25</v>
      </c>
      <c r="AC59" s="97">
        <v>810</v>
      </c>
      <c r="AD59" s="97">
        <v>1086</v>
      </c>
      <c r="AE59" s="97">
        <f t="shared" si="29"/>
        <v>20250</v>
      </c>
      <c r="AF59" s="97" t="s">
        <v>340</v>
      </c>
      <c r="AG59" s="97" t="e">
        <f t="shared" si="31"/>
        <v>#VALUE!</v>
      </c>
      <c r="AH59" s="97" t="e">
        <f t="shared" si="32"/>
        <v>#VALUE!</v>
      </c>
      <c r="AI59" s="100" t="e">
        <f t="shared" si="33"/>
        <v>#VALUE!</v>
      </c>
    </row>
    <row r="60" spans="1:35" x14ac:dyDescent="0.3">
      <c r="A60" s="99">
        <v>45684</v>
      </c>
      <c r="B60" s="97" t="s">
        <v>196</v>
      </c>
      <c r="C60" s="19" t="s">
        <v>109</v>
      </c>
      <c r="D60" s="97" t="s">
        <v>131</v>
      </c>
      <c r="E60" s="97" t="s">
        <v>125</v>
      </c>
      <c r="F60" s="97" t="s">
        <v>123</v>
      </c>
      <c r="G60" s="97">
        <v>19</v>
      </c>
      <c r="H60" s="97">
        <v>595</v>
      </c>
      <c r="I60" s="97">
        <v>1424</v>
      </c>
      <c r="J60" s="97">
        <f t="shared" si="0"/>
        <v>11305</v>
      </c>
      <c r="K60" s="97">
        <f t="shared" si="1"/>
        <v>27056</v>
      </c>
      <c r="L60" s="97">
        <f t="shared" si="2"/>
        <v>15751</v>
      </c>
      <c r="M60" s="97" t="str">
        <f t="shared" si="6"/>
        <v>profit</v>
      </c>
      <c r="N60" s="100" t="b">
        <f t="shared" si="7"/>
        <v>0</v>
      </c>
      <c r="V60" s="99">
        <v>45425</v>
      </c>
      <c r="W60" s="97" t="s">
        <v>258</v>
      </c>
      <c r="X60" s="19" t="s">
        <v>139</v>
      </c>
      <c r="Y60" s="97" t="s">
        <v>205</v>
      </c>
      <c r="Z60" s="97" t="s">
        <v>120</v>
      </c>
      <c r="AA60" s="97" t="s">
        <v>112</v>
      </c>
      <c r="AB60" s="97">
        <v>26</v>
      </c>
      <c r="AC60" s="97">
        <v>781</v>
      </c>
      <c r="AD60" s="97">
        <v>1019</v>
      </c>
      <c r="AE60" s="97">
        <f t="shared" si="29"/>
        <v>20306</v>
      </c>
      <c r="AF60" s="97">
        <f t="shared" ref="AF60:AF66" si="36">AB60*AD60</f>
        <v>26494</v>
      </c>
      <c r="AG60" s="97">
        <f t="shared" si="31"/>
        <v>6188</v>
      </c>
      <c r="AH60" s="97" t="str">
        <f t="shared" si="32"/>
        <v>profit</v>
      </c>
      <c r="AI60" s="100" t="b">
        <f t="shared" si="33"/>
        <v>1</v>
      </c>
    </row>
    <row r="61" spans="1:35" x14ac:dyDescent="0.3">
      <c r="A61" s="99">
        <v>45685</v>
      </c>
      <c r="B61" s="97" t="s">
        <v>197</v>
      </c>
      <c r="C61" s="19" t="s">
        <v>109</v>
      </c>
      <c r="D61" s="97" t="s">
        <v>131</v>
      </c>
      <c r="E61" s="97" t="s">
        <v>120</v>
      </c>
      <c r="F61" s="97" t="s">
        <v>123</v>
      </c>
      <c r="G61" s="97">
        <v>17</v>
      </c>
      <c r="H61" s="97">
        <v>593</v>
      </c>
      <c r="I61" s="97">
        <v>895</v>
      </c>
      <c r="J61" s="97">
        <f t="shared" si="0"/>
        <v>10081</v>
      </c>
      <c r="K61" s="97">
        <f t="shared" si="1"/>
        <v>15215</v>
      </c>
      <c r="L61" s="97">
        <f t="shared" si="2"/>
        <v>5134</v>
      </c>
      <c r="M61" s="97" t="str">
        <f t="shared" si="6"/>
        <v>profit</v>
      </c>
      <c r="N61" s="100" t="b">
        <f t="shared" si="7"/>
        <v>0</v>
      </c>
      <c r="V61" s="99">
        <v>45427</v>
      </c>
      <c r="W61" s="97" t="s">
        <v>260</v>
      </c>
      <c r="X61" s="19" t="s">
        <v>139</v>
      </c>
      <c r="Y61" s="97" t="s">
        <v>205</v>
      </c>
      <c r="Z61" s="97" t="s">
        <v>166</v>
      </c>
      <c r="AA61" s="97" t="s">
        <v>112</v>
      </c>
      <c r="AB61" s="97">
        <v>23</v>
      </c>
      <c r="AC61" s="97">
        <v>972</v>
      </c>
      <c r="AD61" s="97">
        <v>782</v>
      </c>
      <c r="AE61" s="97">
        <f t="shared" si="29"/>
        <v>22356</v>
      </c>
      <c r="AF61" s="97">
        <f t="shared" si="36"/>
        <v>17986</v>
      </c>
      <c r="AG61" s="97">
        <f t="shared" si="31"/>
        <v>-4370</v>
      </c>
      <c r="AH61" s="97" t="str">
        <f t="shared" si="32"/>
        <v>loss</v>
      </c>
      <c r="AI61" s="100" t="b">
        <f t="shared" si="33"/>
        <v>0</v>
      </c>
    </row>
    <row r="62" spans="1:35" x14ac:dyDescent="0.3">
      <c r="A62" s="99">
        <v>45686</v>
      </c>
      <c r="B62" s="97" t="s">
        <v>198</v>
      </c>
      <c r="C62" s="19" t="s">
        <v>109</v>
      </c>
      <c r="D62" s="97" t="s">
        <v>131</v>
      </c>
      <c r="E62" s="97" t="s">
        <v>133</v>
      </c>
      <c r="F62" s="97" t="s">
        <v>123</v>
      </c>
      <c r="G62" s="97">
        <v>20</v>
      </c>
      <c r="H62" s="97">
        <v>735</v>
      </c>
      <c r="I62" s="97">
        <v>1277</v>
      </c>
      <c r="J62" s="97">
        <f t="shared" si="0"/>
        <v>14700</v>
      </c>
      <c r="K62" s="97">
        <f t="shared" si="1"/>
        <v>25540</v>
      </c>
      <c r="L62" s="97">
        <f t="shared" si="2"/>
        <v>10840</v>
      </c>
      <c r="M62" s="97" t="str">
        <f t="shared" si="6"/>
        <v>profit</v>
      </c>
      <c r="N62" s="100" t="b">
        <f t="shared" si="7"/>
        <v>0</v>
      </c>
      <c r="V62" s="99">
        <v>45614</v>
      </c>
      <c r="W62" s="97" t="s">
        <v>261</v>
      </c>
      <c r="X62" s="19" t="s">
        <v>139</v>
      </c>
      <c r="Y62" s="97" t="s">
        <v>154</v>
      </c>
      <c r="Z62" s="97" t="s">
        <v>129</v>
      </c>
      <c r="AA62" s="97" t="s">
        <v>112</v>
      </c>
      <c r="AB62" s="97">
        <v>23</v>
      </c>
      <c r="AC62" s="97">
        <v>906</v>
      </c>
      <c r="AD62" s="97">
        <v>1275</v>
      </c>
      <c r="AE62" s="97">
        <f t="shared" si="29"/>
        <v>20838</v>
      </c>
      <c r="AF62" s="97">
        <f t="shared" si="36"/>
        <v>29325</v>
      </c>
      <c r="AG62" s="97">
        <f t="shared" si="31"/>
        <v>8487</v>
      </c>
      <c r="AH62" s="97" t="str">
        <f t="shared" si="32"/>
        <v>profit</v>
      </c>
      <c r="AI62" s="100" t="b">
        <f t="shared" si="33"/>
        <v>1</v>
      </c>
    </row>
    <row r="63" spans="1:35" x14ac:dyDescent="0.3">
      <c r="A63" s="99">
        <v>45688</v>
      </c>
      <c r="B63" s="97" t="s">
        <v>199</v>
      </c>
      <c r="C63" s="19" t="s">
        <v>109</v>
      </c>
      <c r="D63" s="97" t="s">
        <v>131</v>
      </c>
      <c r="E63" s="97" t="s">
        <v>200</v>
      </c>
      <c r="F63" s="97" t="s">
        <v>123</v>
      </c>
      <c r="G63" s="97">
        <v>17</v>
      </c>
      <c r="H63" s="97">
        <v>750</v>
      </c>
      <c r="I63" s="97">
        <v>1253</v>
      </c>
      <c r="J63" s="97">
        <f t="shared" si="0"/>
        <v>12750</v>
      </c>
      <c r="K63" s="97">
        <f t="shared" si="1"/>
        <v>21301</v>
      </c>
      <c r="L63" s="97">
        <f t="shared" si="2"/>
        <v>8551</v>
      </c>
      <c r="M63" s="97" t="str">
        <f t="shared" si="6"/>
        <v>profit</v>
      </c>
      <c r="N63" s="100" t="b">
        <f t="shared" si="7"/>
        <v>0</v>
      </c>
      <c r="V63" s="99">
        <v>45428</v>
      </c>
      <c r="W63" s="97" t="s">
        <v>262</v>
      </c>
      <c r="X63" s="19" t="s">
        <v>139</v>
      </c>
      <c r="Y63" s="97" t="s">
        <v>205</v>
      </c>
      <c r="Z63" s="97" t="s">
        <v>168</v>
      </c>
      <c r="AA63" s="97" t="s">
        <v>123</v>
      </c>
      <c r="AB63" s="97">
        <v>30</v>
      </c>
      <c r="AC63" s="97">
        <v>987</v>
      </c>
      <c r="AD63" s="97">
        <v>1366</v>
      </c>
      <c r="AE63" s="97">
        <f t="shared" si="29"/>
        <v>29610</v>
      </c>
      <c r="AF63" s="97">
        <f t="shared" si="36"/>
        <v>40980</v>
      </c>
      <c r="AG63" s="97">
        <f t="shared" si="31"/>
        <v>11370</v>
      </c>
      <c r="AH63" s="97" t="str">
        <f t="shared" si="32"/>
        <v>profit</v>
      </c>
      <c r="AI63" s="100" t="b">
        <f t="shared" si="33"/>
        <v>1</v>
      </c>
    </row>
    <row r="64" spans="1:35" x14ac:dyDescent="0.3">
      <c r="A64" s="99">
        <v>45454</v>
      </c>
      <c r="B64" s="97" t="s">
        <v>108</v>
      </c>
      <c r="C64" s="19" t="s">
        <v>109</v>
      </c>
      <c r="D64" s="97" t="s">
        <v>110</v>
      </c>
      <c r="E64" s="97" t="s">
        <v>111</v>
      </c>
      <c r="F64" s="97" t="s">
        <v>112</v>
      </c>
      <c r="G64" s="97">
        <v>11</v>
      </c>
      <c r="H64" s="97">
        <v>601</v>
      </c>
      <c r="I64" s="97">
        <v>1323</v>
      </c>
      <c r="J64" s="97">
        <f t="shared" si="0"/>
        <v>6611</v>
      </c>
      <c r="K64" s="97">
        <f t="shared" si="1"/>
        <v>14553</v>
      </c>
      <c r="L64" s="97">
        <f t="shared" si="2"/>
        <v>7942</v>
      </c>
      <c r="M64" s="97" t="str">
        <f t="shared" si="6"/>
        <v>profit</v>
      </c>
      <c r="N64" s="100" t="b">
        <f t="shared" si="7"/>
        <v>0</v>
      </c>
      <c r="V64" s="99">
        <v>45429</v>
      </c>
      <c r="W64" s="97" t="s">
        <v>264</v>
      </c>
      <c r="X64" s="19" t="s">
        <v>139</v>
      </c>
      <c r="Y64" s="97" t="s">
        <v>205</v>
      </c>
      <c r="Z64" s="97" t="s">
        <v>129</v>
      </c>
      <c r="AA64" s="97" t="s">
        <v>123</v>
      </c>
      <c r="AB64" s="97">
        <v>25</v>
      </c>
      <c r="AC64" s="97">
        <v>877</v>
      </c>
      <c r="AD64" s="97">
        <v>797</v>
      </c>
      <c r="AE64" s="97">
        <f t="shared" si="29"/>
        <v>21925</v>
      </c>
      <c r="AF64" s="97">
        <f t="shared" si="36"/>
        <v>19925</v>
      </c>
      <c r="AG64" s="97">
        <f t="shared" si="31"/>
        <v>-2000</v>
      </c>
      <c r="AH64" s="97" t="str">
        <f t="shared" si="32"/>
        <v>loss</v>
      </c>
      <c r="AI64" s="100" t="b">
        <f t="shared" si="33"/>
        <v>0</v>
      </c>
    </row>
    <row r="65" spans="1:35" x14ac:dyDescent="0.3">
      <c r="A65" s="99">
        <v>45455</v>
      </c>
      <c r="B65" s="97" t="s">
        <v>114</v>
      </c>
      <c r="C65" s="19" t="s">
        <v>109</v>
      </c>
      <c r="D65" s="97" t="s">
        <v>110</v>
      </c>
      <c r="E65" s="97" t="s">
        <v>115</v>
      </c>
      <c r="F65" s="97" t="s">
        <v>112</v>
      </c>
      <c r="G65" s="97">
        <v>20</v>
      </c>
      <c r="H65" s="97">
        <v>857</v>
      </c>
      <c r="I65" s="97">
        <v>983</v>
      </c>
      <c r="J65" s="97">
        <f t="shared" ref="J65:J128" si="37">G65*H65</f>
        <v>17140</v>
      </c>
      <c r="K65" s="97">
        <f t="shared" ref="K65:K128" si="38">G65*I65</f>
        <v>19660</v>
      </c>
      <c r="L65" s="97">
        <f t="shared" ref="L65:L128" si="39">K65-J65</f>
        <v>2520</v>
      </c>
      <c r="M65" s="97" t="str">
        <f t="shared" si="6"/>
        <v>profit</v>
      </c>
      <c r="N65" s="100" t="b">
        <f t="shared" si="7"/>
        <v>0</v>
      </c>
      <c r="V65" s="99">
        <v>45430</v>
      </c>
      <c r="W65" s="97" t="s">
        <v>265</v>
      </c>
      <c r="X65" s="19" t="s">
        <v>139</v>
      </c>
      <c r="Y65" s="97" t="s">
        <v>205</v>
      </c>
      <c r="Z65" s="97" t="s">
        <v>137</v>
      </c>
      <c r="AA65" s="97" t="s">
        <v>123</v>
      </c>
      <c r="AB65" s="97">
        <v>26</v>
      </c>
      <c r="AC65" s="97">
        <v>596</v>
      </c>
      <c r="AD65" s="97">
        <v>1136</v>
      </c>
      <c r="AE65" s="97">
        <f t="shared" si="29"/>
        <v>15496</v>
      </c>
      <c r="AF65" s="97">
        <f t="shared" si="36"/>
        <v>29536</v>
      </c>
      <c r="AG65" s="97">
        <f t="shared" si="31"/>
        <v>14040</v>
      </c>
      <c r="AH65" s="97" t="str">
        <f t="shared" si="32"/>
        <v>profit</v>
      </c>
      <c r="AI65" s="100" t="b">
        <f t="shared" si="33"/>
        <v>0</v>
      </c>
    </row>
    <row r="66" spans="1:35" x14ac:dyDescent="0.3">
      <c r="A66" s="99">
        <v>45456</v>
      </c>
      <c r="B66" s="97" t="s">
        <v>117</v>
      </c>
      <c r="C66" s="19" t="s">
        <v>109</v>
      </c>
      <c r="D66" s="97" t="s">
        <v>110</v>
      </c>
      <c r="E66" s="97" t="s">
        <v>118</v>
      </c>
      <c r="F66" s="97" t="s">
        <v>112</v>
      </c>
      <c r="G66" s="97">
        <v>11</v>
      </c>
      <c r="H66" s="97">
        <v>774</v>
      </c>
      <c r="I66" s="97">
        <v>1363</v>
      </c>
      <c r="J66" s="97">
        <f t="shared" si="37"/>
        <v>8514</v>
      </c>
      <c r="K66" s="97">
        <f t="shared" si="38"/>
        <v>14993</v>
      </c>
      <c r="L66" s="97">
        <f t="shared" si="39"/>
        <v>6479</v>
      </c>
      <c r="M66" s="97" t="str">
        <f t="shared" ref="M66:M129" si="40">IF(L66&gt;0,"profit","loss")</f>
        <v>profit</v>
      </c>
      <c r="N66" s="100" t="b">
        <f t="shared" ref="N66:N129" si="41">AND(L66&gt;0,J66&gt;20000)</f>
        <v>0</v>
      </c>
      <c r="V66" s="99">
        <v>45484</v>
      </c>
      <c r="W66" s="97" t="s">
        <v>266</v>
      </c>
      <c r="X66" s="19" t="s">
        <v>139</v>
      </c>
      <c r="Y66" s="97" t="s">
        <v>205</v>
      </c>
      <c r="Z66" s="97" t="s">
        <v>133</v>
      </c>
      <c r="AA66" s="97" t="s">
        <v>123</v>
      </c>
      <c r="AB66" s="97">
        <v>26</v>
      </c>
      <c r="AC66" s="97">
        <v>771</v>
      </c>
      <c r="AD66" s="97">
        <v>1172</v>
      </c>
      <c r="AE66" s="97">
        <f t="shared" si="29"/>
        <v>20046</v>
      </c>
      <c r="AF66" s="97">
        <f t="shared" si="36"/>
        <v>30472</v>
      </c>
      <c r="AG66" s="97">
        <f t="shared" si="31"/>
        <v>10426</v>
      </c>
      <c r="AH66" s="97" t="str">
        <f t="shared" si="32"/>
        <v>profit</v>
      </c>
      <c r="AI66" s="100" t="b">
        <f t="shared" si="33"/>
        <v>1</v>
      </c>
    </row>
    <row r="67" spans="1:35" x14ac:dyDescent="0.3">
      <c r="A67" s="99">
        <v>45457</v>
      </c>
      <c r="B67" s="97" t="s">
        <v>119</v>
      </c>
      <c r="C67" s="19" t="s">
        <v>109</v>
      </c>
      <c r="D67" s="97" t="s">
        <v>110</v>
      </c>
      <c r="E67" s="97" t="s">
        <v>120</v>
      </c>
      <c r="F67" s="97" t="s">
        <v>112</v>
      </c>
      <c r="G67" s="97">
        <v>13</v>
      </c>
      <c r="H67" s="97">
        <v>986</v>
      </c>
      <c r="I67" s="97">
        <v>1073</v>
      </c>
      <c r="J67" s="97">
        <f t="shared" si="37"/>
        <v>12818</v>
      </c>
      <c r="K67" s="97">
        <f t="shared" si="38"/>
        <v>13949</v>
      </c>
      <c r="L67" s="97">
        <f t="shared" si="39"/>
        <v>1131</v>
      </c>
      <c r="M67" s="97" t="str">
        <f t="shared" si="40"/>
        <v>profit</v>
      </c>
      <c r="N67" s="100" t="b">
        <f t="shared" si="41"/>
        <v>0</v>
      </c>
      <c r="V67" s="99">
        <v>45485</v>
      </c>
      <c r="W67" s="97" t="s">
        <v>267</v>
      </c>
      <c r="X67" s="19" t="s">
        <v>139</v>
      </c>
      <c r="Y67" s="97" t="s">
        <v>205</v>
      </c>
      <c r="Z67" s="97" t="s">
        <v>155</v>
      </c>
      <c r="AA67" s="97" t="s">
        <v>123</v>
      </c>
      <c r="AB67" s="97">
        <v>30</v>
      </c>
      <c r="AC67" s="97">
        <v>859</v>
      </c>
      <c r="AD67" s="97">
        <v>1123</v>
      </c>
      <c r="AE67" s="97">
        <f t="shared" si="29"/>
        <v>25770</v>
      </c>
      <c r="AF67" s="97" t="s">
        <v>340</v>
      </c>
      <c r="AG67" s="97" t="e">
        <f t="shared" si="31"/>
        <v>#VALUE!</v>
      </c>
      <c r="AH67" s="97" t="e">
        <f t="shared" si="32"/>
        <v>#VALUE!</v>
      </c>
      <c r="AI67" s="100" t="e">
        <f t="shared" si="33"/>
        <v>#VALUE!</v>
      </c>
    </row>
    <row r="68" spans="1:35" x14ac:dyDescent="0.3">
      <c r="A68" s="99">
        <v>45459</v>
      </c>
      <c r="B68" s="97" t="s">
        <v>121</v>
      </c>
      <c r="C68" s="19" t="s">
        <v>109</v>
      </c>
      <c r="D68" s="97" t="s">
        <v>110</v>
      </c>
      <c r="E68" s="97" t="s">
        <v>122</v>
      </c>
      <c r="F68" s="97" t="s">
        <v>123</v>
      </c>
      <c r="G68" s="97">
        <v>12</v>
      </c>
      <c r="H68" s="97">
        <v>997</v>
      </c>
      <c r="I68" s="97">
        <v>1445</v>
      </c>
      <c r="J68" s="97">
        <f t="shared" si="37"/>
        <v>11964</v>
      </c>
      <c r="K68" s="97">
        <f t="shared" si="38"/>
        <v>17340</v>
      </c>
      <c r="L68" s="97">
        <f t="shared" si="39"/>
        <v>5376</v>
      </c>
      <c r="M68" s="97" t="str">
        <f t="shared" si="40"/>
        <v>profit</v>
      </c>
      <c r="N68" s="100" t="b">
        <f t="shared" si="41"/>
        <v>0</v>
      </c>
      <c r="V68" s="99">
        <v>45487</v>
      </c>
      <c r="W68" s="97" t="s">
        <v>269</v>
      </c>
      <c r="X68" s="19" t="s">
        <v>139</v>
      </c>
      <c r="Y68" s="97" t="s">
        <v>205</v>
      </c>
      <c r="Z68" s="97" t="s">
        <v>151</v>
      </c>
      <c r="AA68" s="97" t="s">
        <v>123</v>
      </c>
      <c r="AB68" s="97">
        <v>29</v>
      </c>
      <c r="AC68" s="97">
        <v>861</v>
      </c>
      <c r="AD68" s="97">
        <v>820</v>
      </c>
      <c r="AE68" s="97">
        <f t="shared" si="29"/>
        <v>24969</v>
      </c>
      <c r="AF68" s="97">
        <f t="shared" ref="AF68:AF77" si="42">AB68*AD68</f>
        <v>23780</v>
      </c>
      <c r="AG68" s="97">
        <f t="shared" si="31"/>
        <v>-1189</v>
      </c>
      <c r="AH68" s="97" t="str">
        <f t="shared" si="32"/>
        <v>loss</v>
      </c>
      <c r="AI68" s="100" t="b">
        <f t="shared" si="33"/>
        <v>0</v>
      </c>
    </row>
    <row r="69" spans="1:35" x14ac:dyDescent="0.3">
      <c r="A69" s="99">
        <v>45460</v>
      </c>
      <c r="B69" s="97" t="s">
        <v>124</v>
      </c>
      <c r="C69" s="19" t="s">
        <v>109</v>
      </c>
      <c r="D69" s="97" t="s">
        <v>110</v>
      </c>
      <c r="E69" s="97" t="s">
        <v>125</v>
      </c>
      <c r="F69" s="97" t="s">
        <v>123</v>
      </c>
      <c r="G69" s="97">
        <v>20</v>
      </c>
      <c r="H69" s="97">
        <v>941</v>
      </c>
      <c r="I69" s="97">
        <v>1053</v>
      </c>
      <c r="J69" s="97">
        <f t="shared" si="37"/>
        <v>18820</v>
      </c>
      <c r="K69" s="97">
        <f t="shared" si="38"/>
        <v>21060</v>
      </c>
      <c r="L69" s="97">
        <f t="shared" si="39"/>
        <v>2240</v>
      </c>
      <c r="M69" s="97" t="str">
        <f t="shared" si="40"/>
        <v>profit</v>
      </c>
      <c r="N69" s="100" t="b">
        <f t="shared" si="41"/>
        <v>0</v>
      </c>
      <c r="V69" s="99">
        <v>45489</v>
      </c>
      <c r="W69" s="97" t="s">
        <v>270</v>
      </c>
      <c r="X69" s="19" t="s">
        <v>139</v>
      </c>
      <c r="Y69" s="97" t="s">
        <v>205</v>
      </c>
      <c r="Z69" s="97" t="s">
        <v>125</v>
      </c>
      <c r="AA69" s="97" t="s">
        <v>112</v>
      </c>
      <c r="AB69" s="97">
        <v>24</v>
      </c>
      <c r="AC69" s="97">
        <v>978</v>
      </c>
      <c r="AD69" s="97">
        <v>773</v>
      </c>
      <c r="AE69" s="97">
        <f t="shared" si="29"/>
        <v>23472</v>
      </c>
      <c r="AF69" s="97">
        <f t="shared" si="42"/>
        <v>18552</v>
      </c>
      <c r="AG69" s="97">
        <f t="shared" si="31"/>
        <v>-4920</v>
      </c>
      <c r="AH69" s="97" t="str">
        <f t="shared" si="32"/>
        <v>loss</v>
      </c>
      <c r="AI69" s="100" t="b">
        <f t="shared" si="33"/>
        <v>0</v>
      </c>
    </row>
    <row r="70" spans="1:35" x14ac:dyDescent="0.3">
      <c r="A70" s="99">
        <v>45472</v>
      </c>
      <c r="B70" s="97" t="s">
        <v>130</v>
      </c>
      <c r="C70" s="19" t="s">
        <v>109</v>
      </c>
      <c r="D70" s="97" t="s">
        <v>131</v>
      </c>
      <c r="E70" s="97" t="s">
        <v>129</v>
      </c>
      <c r="F70" s="97" t="s">
        <v>112</v>
      </c>
      <c r="G70" s="97">
        <v>19</v>
      </c>
      <c r="H70" s="97">
        <v>952</v>
      </c>
      <c r="I70" s="97">
        <v>1486</v>
      </c>
      <c r="J70" s="97">
        <f t="shared" si="37"/>
        <v>18088</v>
      </c>
      <c r="K70" s="97">
        <f t="shared" si="38"/>
        <v>28234</v>
      </c>
      <c r="L70" s="97">
        <f t="shared" si="39"/>
        <v>10146</v>
      </c>
      <c r="M70" s="97" t="str">
        <f t="shared" si="40"/>
        <v>profit</v>
      </c>
      <c r="N70" s="100" t="b">
        <f t="shared" si="41"/>
        <v>0</v>
      </c>
      <c r="V70" s="99">
        <v>45490</v>
      </c>
      <c r="W70" s="97" t="s">
        <v>271</v>
      </c>
      <c r="X70" s="19" t="s">
        <v>139</v>
      </c>
      <c r="Y70" s="97" t="s">
        <v>205</v>
      </c>
      <c r="Z70" s="97" t="s">
        <v>200</v>
      </c>
      <c r="AA70" s="97" t="s">
        <v>112</v>
      </c>
      <c r="AB70" s="97">
        <v>30</v>
      </c>
      <c r="AC70" s="97">
        <v>514</v>
      </c>
      <c r="AD70" s="97">
        <v>1333</v>
      </c>
      <c r="AE70" s="97">
        <f t="shared" si="29"/>
        <v>15420</v>
      </c>
      <c r="AF70" s="97">
        <f t="shared" si="42"/>
        <v>39990</v>
      </c>
      <c r="AG70" s="97">
        <f t="shared" si="31"/>
        <v>24570</v>
      </c>
      <c r="AH70" s="97" t="str">
        <f t="shared" si="32"/>
        <v>profit</v>
      </c>
      <c r="AI70" s="100" t="b">
        <f t="shared" si="33"/>
        <v>0</v>
      </c>
    </row>
    <row r="71" spans="1:35" x14ac:dyDescent="0.3">
      <c r="A71" s="99">
        <v>45473</v>
      </c>
      <c r="B71" s="97" t="s">
        <v>132</v>
      </c>
      <c r="C71" s="19" t="s">
        <v>109</v>
      </c>
      <c r="D71" s="97" t="s">
        <v>131</v>
      </c>
      <c r="E71" s="97" t="s">
        <v>133</v>
      </c>
      <c r="F71" s="97" t="s">
        <v>112</v>
      </c>
      <c r="G71" s="97">
        <v>11</v>
      </c>
      <c r="H71" s="97">
        <v>503</v>
      </c>
      <c r="I71" s="97">
        <v>762</v>
      </c>
      <c r="J71" s="97">
        <f t="shared" si="37"/>
        <v>5533</v>
      </c>
      <c r="K71" s="97">
        <f t="shared" si="38"/>
        <v>8382</v>
      </c>
      <c r="L71" s="97">
        <f t="shared" si="39"/>
        <v>2849</v>
      </c>
      <c r="M71" s="97" t="str">
        <f t="shared" si="40"/>
        <v>profit</v>
      </c>
      <c r="N71" s="100" t="b">
        <f t="shared" si="41"/>
        <v>0</v>
      </c>
      <c r="V71" s="99">
        <v>45491</v>
      </c>
      <c r="W71" s="97" t="s">
        <v>272</v>
      </c>
      <c r="X71" s="19" t="s">
        <v>139</v>
      </c>
      <c r="Y71" s="97" t="s">
        <v>205</v>
      </c>
      <c r="Z71" s="97" t="s">
        <v>137</v>
      </c>
      <c r="AA71" s="97" t="s">
        <v>112</v>
      </c>
      <c r="AB71" s="97">
        <v>26</v>
      </c>
      <c r="AC71" s="97">
        <v>656</v>
      </c>
      <c r="AD71" s="97">
        <v>908</v>
      </c>
      <c r="AE71" s="97">
        <f t="shared" si="29"/>
        <v>17056</v>
      </c>
      <c r="AF71" s="97">
        <f t="shared" si="42"/>
        <v>23608</v>
      </c>
      <c r="AG71" s="97">
        <f t="shared" si="31"/>
        <v>6552</v>
      </c>
      <c r="AH71" s="97" t="str">
        <f t="shared" si="32"/>
        <v>profit</v>
      </c>
      <c r="AI71" s="100" t="b">
        <f t="shared" si="33"/>
        <v>0</v>
      </c>
    </row>
    <row r="72" spans="1:35" x14ac:dyDescent="0.3">
      <c r="A72" s="99">
        <v>45474</v>
      </c>
      <c r="B72" s="97" t="s">
        <v>134</v>
      </c>
      <c r="C72" s="19" t="s">
        <v>109</v>
      </c>
      <c r="D72" s="97" t="s">
        <v>131</v>
      </c>
      <c r="E72" s="97" t="s">
        <v>133</v>
      </c>
      <c r="F72" s="97" t="s">
        <v>112</v>
      </c>
      <c r="G72" s="97">
        <v>10</v>
      </c>
      <c r="H72" s="97">
        <v>719</v>
      </c>
      <c r="I72" s="97">
        <v>862</v>
      </c>
      <c r="J72" s="97">
        <f t="shared" si="37"/>
        <v>7190</v>
      </c>
      <c r="K72" s="97">
        <f t="shared" si="38"/>
        <v>8620</v>
      </c>
      <c r="L72" s="97">
        <f t="shared" si="39"/>
        <v>1430</v>
      </c>
      <c r="M72" s="97" t="str">
        <f t="shared" si="40"/>
        <v>profit</v>
      </c>
      <c r="N72" s="100" t="b">
        <f t="shared" si="41"/>
        <v>0</v>
      </c>
      <c r="V72" s="99">
        <v>45626</v>
      </c>
      <c r="W72" s="97" t="s">
        <v>273</v>
      </c>
      <c r="X72" s="19" t="s">
        <v>139</v>
      </c>
      <c r="Y72" s="97" t="s">
        <v>205</v>
      </c>
      <c r="Z72" s="97" t="s">
        <v>133</v>
      </c>
      <c r="AA72" s="97" t="s">
        <v>112</v>
      </c>
      <c r="AB72" s="97">
        <v>28</v>
      </c>
      <c r="AC72" s="97">
        <v>866</v>
      </c>
      <c r="AD72" s="97">
        <v>1102</v>
      </c>
      <c r="AE72" s="97">
        <f t="shared" si="29"/>
        <v>24248</v>
      </c>
      <c r="AF72" s="97">
        <f t="shared" si="42"/>
        <v>30856</v>
      </c>
      <c r="AG72" s="97">
        <f t="shared" si="31"/>
        <v>6608</v>
      </c>
      <c r="AH72" s="97" t="str">
        <f t="shared" si="32"/>
        <v>profit</v>
      </c>
      <c r="AI72" s="100" t="b">
        <f t="shared" si="33"/>
        <v>1</v>
      </c>
    </row>
    <row r="73" spans="1:35" x14ac:dyDescent="0.3">
      <c r="A73" s="99">
        <v>45476</v>
      </c>
      <c r="B73" s="97" t="s">
        <v>135</v>
      </c>
      <c r="C73" s="19" t="s">
        <v>109</v>
      </c>
      <c r="D73" s="97" t="s">
        <v>131</v>
      </c>
      <c r="E73" s="97" t="s">
        <v>122</v>
      </c>
      <c r="F73" s="97" t="s">
        <v>112</v>
      </c>
      <c r="G73" s="97">
        <v>15</v>
      </c>
      <c r="H73" s="97">
        <v>941</v>
      </c>
      <c r="I73" s="97">
        <v>913</v>
      </c>
      <c r="J73" s="97">
        <f t="shared" si="37"/>
        <v>14115</v>
      </c>
      <c r="K73" s="97">
        <f t="shared" si="38"/>
        <v>13695</v>
      </c>
      <c r="L73" s="97">
        <f t="shared" si="39"/>
        <v>-420</v>
      </c>
      <c r="M73" s="97" t="str">
        <f t="shared" si="40"/>
        <v>loss</v>
      </c>
      <c r="N73" s="100" t="b">
        <f t="shared" si="41"/>
        <v>0</v>
      </c>
      <c r="V73" s="99">
        <v>45492</v>
      </c>
      <c r="W73" s="97" t="s">
        <v>274</v>
      </c>
      <c r="X73" s="19" t="s">
        <v>139</v>
      </c>
      <c r="Y73" s="97" t="s">
        <v>205</v>
      </c>
      <c r="Z73" s="97" t="s">
        <v>240</v>
      </c>
      <c r="AA73" s="97" t="s">
        <v>112</v>
      </c>
      <c r="AB73" s="97">
        <v>28</v>
      </c>
      <c r="AC73" s="97">
        <v>866</v>
      </c>
      <c r="AD73" s="97">
        <v>1080</v>
      </c>
      <c r="AE73" s="97">
        <f t="shared" si="29"/>
        <v>24248</v>
      </c>
      <c r="AF73" s="97">
        <f t="shared" si="42"/>
        <v>30240</v>
      </c>
      <c r="AG73" s="97">
        <f t="shared" si="31"/>
        <v>5992</v>
      </c>
      <c r="AH73" s="97" t="str">
        <f t="shared" si="32"/>
        <v>profit</v>
      </c>
      <c r="AI73" s="100" t="b">
        <f t="shared" si="33"/>
        <v>1</v>
      </c>
    </row>
    <row r="74" spans="1:35" x14ac:dyDescent="0.3">
      <c r="A74" s="99">
        <v>45477</v>
      </c>
      <c r="B74" s="97" t="s">
        <v>136</v>
      </c>
      <c r="C74" s="19" t="s">
        <v>109</v>
      </c>
      <c r="D74" s="97" t="s">
        <v>131</v>
      </c>
      <c r="E74" s="97" t="s">
        <v>137</v>
      </c>
      <c r="F74" s="97" t="s">
        <v>112</v>
      </c>
      <c r="G74" s="97">
        <v>15</v>
      </c>
      <c r="H74" s="97">
        <v>937</v>
      </c>
      <c r="I74" s="97">
        <v>1427</v>
      </c>
      <c r="J74" s="97">
        <f t="shared" si="37"/>
        <v>14055</v>
      </c>
      <c r="K74" s="97">
        <f t="shared" si="38"/>
        <v>21405</v>
      </c>
      <c r="L74" s="97">
        <f t="shared" si="39"/>
        <v>7350</v>
      </c>
      <c r="M74" s="97" t="str">
        <f t="shared" si="40"/>
        <v>profit</v>
      </c>
      <c r="N74" s="100" t="b">
        <f t="shared" si="41"/>
        <v>0</v>
      </c>
      <c r="V74" s="99">
        <v>45629</v>
      </c>
      <c r="W74" s="97" t="s">
        <v>276</v>
      </c>
      <c r="X74" s="19" t="s">
        <v>139</v>
      </c>
      <c r="Y74" s="97" t="s">
        <v>205</v>
      </c>
      <c r="Z74" s="97" t="s">
        <v>151</v>
      </c>
      <c r="AA74" s="97" t="s">
        <v>123</v>
      </c>
      <c r="AB74" s="97">
        <v>29</v>
      </c>
      <c r="AC74" s="97">
        <v>639</v>
      </c>
      <c r="AD74" s="97">
        <v>1257</v>
      </c>
      <c r="AE74" s="97">
        <f t="shared" si="29"/>
        <v>18531</v>
      </c>
      <c r="AF74" s="97">
        <f t="shared" si="42"/>
        <v>36453</v>
      </c>
      <c r="AG74" s="97">
        <f t="shared" si="31"/>
        <v>17922</v>
      </c>
      <c r="AH74" s="97" t="str">
        <f t="shared" si="32"/>
        <v>profit</v>
      </c>
      <c r="AI74" s="100" t="b">
        <f t="shared" si="33"/>
        <v>0</v>
      </c>
    </row>
    <row r="75" spans="1:35" x14ac:dyDescent="0.3">
      <c r="A75" s="99">
        <v>45478</v>
      </c>
      <c r="B75" s="97" t="s">
        <v>141</v>
      </c>
      <c r="C75" s="19" t="s">
        <v>109</v>
      </c>
      <c r="D75" s="97" t="s">
        <v>131</v>
      </c>
      <c r="E75" s="97" t="s">
        <v>142</v>
      </c>
      <c r="F75" s="97" t="s">
        <v>112</v>
      </c>
      <c r="G75" s="97">
        <v>11</v>
      </c>
      <c r="H75" s="97">
        <v>674</v>
      </c>
      <c r="I75" s="97">
        <v>1415</v>
      </c>
      <c r="J75" s="97">
        <f t="shared" si="37"/>
        <v>7414</v>
      </c>
      <c r="K75" s="97">
        <f t="shared" si="38"/>
        <v>15565</v>
      </c>
      <c r="L75" s="97">
        <f t="shared" si="39"/>
        <v>8151</v>
      </c>
      <c r="M75" s="97" t="str">
        <f t="shared" si="40"/>
        <v>profit</v>
      </c>
      <c r="N75" s="100" t="b">
        <f t="shared" si="41"/>
        <v>0</v>
      </c>
      <c r="V75" s="99">
        <v>45517</v>
      </c>
      <c r="W75" s="97" t="s">
        <v>278</v>
      </c>
      <c r="X75" s="19" t="s">
        <v>139</v>
      </c>
      <c r="Y75" s="97" t="s">
        <v>205</v>
      </c>
      <c r="Z75" s="97" t="s">
        <v>137</v>
      </c>
      <c r="AA75" s="97" t="s">
        <v>123</v>
      </c>
      <c r="AB75" s="97">
        <v>26</v>
      </c>
      <c r="AC75" s="97">
        <v>715</v>
      </c>
      <c r="AD75" s="97">
        <v>1113</v>
      </c>
      <c r="AE75" s="97">
        <f t="shared" si="29"/>
        <v>18590</v>
      </c>
      <c r="AF75" s="97">
        <f t="shared" si="42"/>
        <v>28938</v>
      </c>
      <c r="AG75" s="97">
        <f t="shared" si="31"/>
        <v>10348</v>
      </c>
      <c r="AH75" s="97" t="str">
        <f t="shared" si="32"/>
        <v>profit</v>
      </c>
      <c r="AI75" s="100" t="b">
        <f t="shared" si="33"/>
        <v>0</v>
      </c>
    </row>
    <row r="76" spans="1:35" x14ac:dyDescent="0.3">
      <c r="A76" s="99">
        <v>45458</v>
      </c>
      <c r="B76" s="97" t="s">
        <v>201</v>
      </c>
      <c r="C76" s="19" t="s">
        <v>109</v>
      </c>
      <c r="D76" s="97" t="s">
        <v>110</v>
      </c>
      <c r="E76" s="97" t="s">
        <v>120</v>
      </c>
      <c r="F76" s="97" t="s">
        <v>112</v>
      </c>
      <c r="G76" s="97">
        <v>20</v>
      </c>
      <c r="H76" s="97">
        <v>827</v>
      </c>
      <c r="I76" s="97">
        <v>816</v>
      </c>
      <c r="J76" s="97">
        <f t="shared" si="37"/>
        <v>16540</v>
      </c>
      <c r="K76" s="97">
        <f t="shared" si="38"/>
        <v>16320</v>
      </c>
      <c r="L76" s="97">
        <f t="shared" si="39"/>
        <v>-220</v>
      </c>
      <c r="M76" s="97" t="str">
        <f t="shared" si="40"/>
        <v>loss</v>
      </c>
      <c r="N76" s="100" t="b">
        <f t="shared" si="41"/>
        <v>0</v>
      </c>
      <c r="V76" s="99">
        <v>45518</v>
      </c>
      <c r="W76" s="97" t="s">
        <v>279</v>
      </c>
      <c r="X76" s="19" t="s">
        <v>139</v>
      </c>
      <c r="Y76" s="97" t="s">
        <v>205</v>
      </c>
      <c r="Z76" s="97" t="s">
        <v>142</v>
      </c>
      <c r="AA76" s="97" t="s">
        <v>123</v>
      </c>
      <c r="AB76" s="97">
        <v>27</v>
      </c>
      <c r="AC76" s="97">
        <v>611</v>
      </c>
      <c r="AD76" s="97">
        <v>1309</v>
      </c>
      <c r="AE76" s="97">
        <f t="shared" si="29"/>
        <v>16497</v>
      </c>
      <c r="AF76" s="97">
        <f t="shared" si="42"/>
        <v>35343</v>
      </c>
      <c r="AG76" s="97">
        <f t="shared" si="31"/>
        <v>18846</v>
      </c>
      <c r="AH76" s="97" t="str">
        <f t="shared" si="32"/>
        <v>profit</v>
      </c>
      <c r="AI76" s="100" t="b">
        <f t="shared" si="33"/>
        <v>0</v>
      </c>
    </row>
    <row r="77" spans="1:35" x14ac:dyDescent="0.3">
      <c r="A77" s="99">
        <v>45479</v>
      </c>
      <c r="B77" s="97" t="s">
        <v>143</v>
      </c>
      <c r="C77" s="19" t="s">
        <v>109</v>
      </c>
      <c r="D77" s="97" t="s">
        <v>131</v>
      </c>
      <c r="E77" s="97" t="s">
        <v>122</v>
      </c>
      <c r="F77" s="97" t="s">
        <v>123</v>
      </c>
      <c r="G77" s="97">
        <v>20</v>
      </c>
      <c r="H77" s="97">
        <v>596</v>
      </c>
      <c r="I77" s="97">
        <v>1255</v>
      </c>
      <c r="J77" s="97">
        <f t="shared" si="37"/>
        <v>11920</v>
      </c>
      <c r="K77" s="97">
        <f t="shared" si="38"/>
        <v>25100</v>
      </c>
      <c r="L77" s="97">
        <f t="shared" si="39"/>
        <v>13180</v>
      </c>
      <c r="M77" s="97" t="str">
        <f t="shared" si="40"/>
        <v>profit</v>
      </c>
      <c r="N77" s="100" t="b">
        <f t="shared" si="41"/>
        <v>0</v>
      </c>
      <c r="V77" s="99">
        <v>45519</v>
      </c>
      <c r="W77" s="97" t="s">
        <v>280</v>
      </c>
      <c r="X77" s="19" t="s">
        <v>139</v>
      </c>
      <c r="Y77" s="97" t="s">
        <v>205</v>
      </c>
      <c r="Z77" s="97" t="s">
        <v>122</v>
      </c>
      <c r="AA77" s="97" t="s">
        <v>112</v>
      </c>
      <c r="AB77" s="97">
        <v>29</v>
      </c>
      <c r="AC77" s="97">
        <v>544</v>
      </c>
      <c r="AD77" s="97">
        <v>1436</v>
      </c>
      <c r="AE77" s="97">
        <f t="shared" si="29"/>
        <v>15776</v>
      </c>
      <c r="AF77" s="97">
        <f t="shared" si="42"/>
        <v>41644</v>
      </c>
      <c r="AG77" s="97">
        <f t="shared" si="31"/>
        <v>25868</v>
      </c>
      <c r="AH77" s="97" t="str">
        <f t="shared" si="32"/>
        <v>profit</v>
      </c>
      <c r="AI77" s="100" t="b">
        <f t="shared" si="33"/>
        <v>0</v>
      </c>
    </row>
    <row r="78" spans="1:35" x14ac:dyDescent="0.3">
      <c r="A78" s="99">
        <v>45480</v>
      </c>
      <c r="B78" s="97" t="s">
        <v>144</v>
      </c>
      <c r="C78" s="19" t="s">
        <v>109</v>
      </c>
      <c r="D78" s="97" t="s">
        <v>131</v>
      </c>
      <c r="E78" s="97" t="s">
        <v>145</v>
      </c>
      <c r="F78" s="97" t="s">
        <v>123</v>
      </c>
      <c r="G78" s="97">
        <v>20</v>
      </c>
      <c r="H78" s="97">
        <v>689</v>
      </c>
      <c r="I78" s="97">
        <v>939</v>
      </c>
      <c r="J78" s="97">
        <f t="shared" si="37"/>
        <v>13780</v>
      </c>
      <c r="K78" s="97">
        <f t="shared" si="38"/>
        <v>18780</v>
      </c>
      <c r="L78" s="97">
        <f t="shared" si="39"/>
        <v>5000</v>
      </c>
      <c r="M78" s="97" t="str">
        <f t="shared" si="40"/>
        <v>profit</v>
      </c>
      <c r="N78" s="100" t="b">
        <f t="shared" si="41"/>
        <v>0</v>
      </c>
      <c r="V78" s="99">
        <v>45521</v>
      </c>
      <c r="W78" s="97" t="s">
        <v>282</v>
      </c>
      <c r="X78" s="19" t="s">
        <v>139</v>
      </c>
      <c r="Y78" s="97" t="s">
        <v>205</v>
      </c>
      <c r="Z78" s="97" t="s">
        <v>146</v>
      </c>
      <c r="AA78" s="97" t="s">
        <v>123</v>
      </c>
      <c r="AB78" s="97">
        <v>30</v>
      </c>
      <c r="AC78" s="97">
        <v>652</v>
      </c>
      <c r="AD78" s="97">
        <v>1151</v>
      </c>
      <c r="AE78" s="97">
        <f t="shared" si="29"/>
        <v>19560</v>
      </c>
      <c r="AF78" s="97">
        <f t="shared" ref="AF78:AF86" si="43">AB78*AD78</f>
        <v>34530</v>
      </c>
      <c r="AG78" s="97">
        <f t="shared" si="31"/>
        <v>14970</v>
      </c>
      <c r="AH78" s="97" t="str">
        <f t="shared" si="32"/>
        <v>profit</v>
      </c>
      <c r="AI78" s="100" t="b">
        <f t="shared" si="33"/>
        <v>0</v>
      </c>
    </row>
    <row r="79" spans="1:35" x14ac:dyDescent="0.3">
      <c r="A79" s="99">
        <v>45481</v>
      </c>
      <c r="B79" s="97" t="s">
        <v>83</v>
      </c>
      <c r="C79" s="19" t="s">
        <v>109</v>
      </c>
      <c r="D79" s="97" t="s">
        <v>131</v>
      </c>
      <c r="E79" s="97" t="s">
        <v>146</v>
      </c>
      <c r="F79" s="97" t="s">
        <v>123</v>
      </c>
      <c r="G79" s="97">
        <v>17</v>
      </c>
      <c r="H79" s="97">
        <v>990</v>
      </c>
      <c r="I79" s="97">
        <v>1391</v>
      </c>
      <c r="J79" s="97">
        <f t="shared" si="37"/>
        <v>16830</v>
      </c>
      <c r="K79" s="97">
        <f t="shared" si="38"/>
        <v>23647</v>
      </c>
      <c r="L79" s="97">
        <f t="shared" si="39"/>
        <v>6817</v>
      </c>
      <c r="M79" s="97" t="str">
        <f t="shared" si="40"/>
        <v>profit</v>
      </c>
      <c r="N79" s="100" t="b">
        <f t="shared" si="41"/>
        <v>0</v>
      </c>
      <c r="V79" s="99">
        <v>45522</v>
      </c>
      <c r="W79" s="97" t="s">
        <v>194</v>
      </c>
      <c r="X79" s="19" t="s">
        <v>139</v>
      </c>
      <c r="Y79" s="97" t="s">
        <v>205</v>
      </c>
      <c r="Z79" s="97" t="s">
        <v>129</v>
      </c>
      <c r="AA79" s="97" t="s">
        <v>123</v>
      </c>
      <c r="AB79" s="97">
        <v>22</v>
      </c>
      <c r="AC79" s="97">
        <v>681</v>
      </c>
      <c r="AD79" s="97">
        <v>1087</v>
      </c>
      <c r="AE79" s="97">
        <f t="shared" si="29"/>
        <v>14982</v>
      </c>
      <c r="AF79" s="97">
        <f t="shared" si="43"/>
        <v>23914</v>
      </c>
      <c r="AG79" s="97">
        <f t="shared" si="31"/>
        <v>8932</v>
      </c>
      <c r="AH79" s="97" t="str">
        <f t="shared" si="32"/>
        <v>profit</v>
      </c>
      <c r="AI79" s="100" t="b">
        <f t="shared" si="33"/>
        <v>0</v>
      </c>
    </row>
    <row r="80" spans="1:35" x14ac:dyDescent="0.3">
      <c r="A80" s="99">
        <v>45482</v>
      </c>
      <c r="B80" s="97" t="s">
        <v>147</v>
      </c>
      <c r="C80" s="19" t="s">
        <v>109</v>
      </c>
      <c r="D80" s="97" t="s">
        <v>131</v>
      </c>
      <c r="E80" s="97" t="s">
        <v>129</v>
      </c>
      <c r="F80" s="97" t="s">
        <v>123</v>
      </c>
      <c r="G80" s="97">
        <v>20</v>
      </c>
      <c r="H80" s="97">
        <v>589</v>
      </c>
      <c r="I80" s="97">
        <v>773</v>
      </c>
      <c r="J80" s="97">
        <f t="shared" si="37"/>
        <v>11780</v>
      </c>
      <c r="K80" s="97">
        <f t="shared" si="38"/>
        <v>15460</v>
      </c>
      <c r="L80" s="97">
        <f t="shared" si="39"/>
        <v>3680</v>
      </c>
      <c r="M80" s="97" t="str">
        <f t="shared" si="40"/>
        <v>profit</v>
      </c>
      <c r="N80" s="100" t="b">
        <f t="shared" si="41"/>
        <v>0</v>
      </c>
      <c r="V80" s="99">
        <v>45637</v>
      </c>
      <c r="W80" s="97" t="s">
        <v>283</v>
      </c>
      <c r="X80" s="19" t="s">
        <v>127</v>
      </c>
      <c r="Y80" s="97" t="s">
        <v>186</v>
      </c>
      <c r="Z80" s="97" t="s">
        <v>115</v>
      </c>
      <c r="AA80" s="97" t="s">
        <v>123</v>
      </c>
      <c r="AB80" s="97">
        <v>66</v>
      </c>
      <c r="AC80" s="97">
        <v>888</v>
      </c>
      <c r="AD80" s="97">
        <v>809</v>
      </c>
      <c r="AE80" s="97">
        <f t="shared" si="29"/>
        <v>58608</v>
      </c>
      <c r="AF80" s="97">
        <f t="shared" si="43"/>
        <v>53394</v>
      </c>
      <c r="AG80" s="97">
        <f t="shared" si="31"/>
        <v>-5214</v>
      </c>
      <c r="AH80" s="97" t="str">
        <f t="shared" si="32"/>
        <v>loss</v>
      </c>
      <c r="AI80" s="100" t="b">
        <f t="shared" si="33"/>
        <v>0</v>
      </c>
    </row>
    <row r="81" spans="1:35" x14ac:dyDescent="0.3">
      <c r="A81" s="99">
        <v>45483</v>
      </c>
      <c r="B81" s="97" t="s">
        <v>148</v>
      </c>
      <c r="C81" s="19" t="s">
        <v>109</v>
      </c>
      <c r="D81" s="97" t="s">
        <v>131</v>
      </c>
      <c r="E81" s="97" t="s">
        <v>133</v>
      </c>
      <c r="F81" s="97" t="s">
        <v>112</v>
      </c>
      <c r="G81" s="97">
        <v>17</v>
      </c>
      <c r="H81" s="97">
        <v>773</v>
      </c>
      <c r="I81" s="97">
        <v>1266</v>
      </c>
      <c r="J81" s="97">
        <f t="shared" si="37"/>
        <v>13141</v>
      </c>
      <c r="K81" s="97">
        <f t="shared" si="38"/>
        <v>21522</v>
      </c>
      <c r="L81" s="97">
        <f t="shared" si="39"/>
        <v>8381</v>
      </c>
      <c r="M81" s="97" t="str">
        <f t="shared" si="40"/>
        <v>profit</v>
      </c>
      <c r="N81" s="100" t="b">
        <f t="shared" si="41"/>
        <v>0</v>
      </c>
      <c r="V81" s="99">
        <v>45523</v>
      </c>
      <c r="W81" s="97" t="s">
        <v>284</v>
      </c>
      <c r="X81" s="19" t="s">
        <v>139</v>
      </c>
      <c r="Y81" s="97" t="s">
        <v>205</v>
      </c>
      <c r="Z81" s="97" t="s">
        <v>133</v>
      </c>
      <c r="AA81" s="97" t="s">
        <v>123</v>
      </c>
      <c r="AB81" s="97">
        <v>28</v>
      </c>
      <c r="AC81" s="97">
        <v>923</v>
      </c>
      <c r="AD81" s="97">
        <v>1395</v>
      </c>
      <c r="AE81" s="97">
        <f t="shared" si="29"/>
        <v>25844</v>
      </c>
      <c r="AF81" s="97">
        <f t="shared" si="43"/>
        <v>39060</v>
      </c>
      <c r="AG81" s="97">
        <f t="shared" si="31"/>
        <v>13216</v>
      </c>
      <c r="AH81" s="97" t="str">
        <f t="shared" si="32"/>
        <v>profit</v>
      </c>
      <c r="AI81" s="100" t="b">
        <f t="shared" si="33"/>
        <v>1</v>
      </c>
    </row>
    <row r="82" spans="1:35" x14ac:dyDescent="0.3">
      <c r="A82" s="99">
        <v>45464</v>
      </c>
      <c r="B82" s="97" t="s">
        <v>202</v>
      </c>
      <c r="C82" s="19" t="s">
        <v>127</v>
      </c>
      <c r="D82" s="97" t="s">
        <v>186</v>
      </c>
      <c r="E82" s="97" t="s">
        <v>137</v>
      </c>
      <c r="F82" s="97" t="s">
        <v>112</v>
      </c>
      <c r="G82" s="97">
        <v>75</v>
      </c>
      <c r="H82" s="97">
        <v>859</v>
      </c>
      <c r="I82" s="97">
        <v>1486</v>
      </c>
      <c r="J82" s="97">
        <f t="shared" si="37"/>
        <v>64425</v>
      </c>
      <c r="K82" s="97">
        <f t="shared" si="38"/>
        <v>111450</v>
      </c>
      <c r="L82" s="97">
        <f t="shared" si="39"/>
        <v>47025</v>
      </c>
      <c r="M82" s="97" t="str">
        <f t="shared" si="40"/>
        <v>profit</v>
      </c>
      <c r="N82" s="100" t="b">
        <f t="shared" si="41"/>
        <v>1</v>
      </c>
      <c r="V82" s="99">
        <v>45525</v>
      </c>
      <c r="W82" s="97" t="s">
        <v>285</v>
      </c>
      <c r="X82" s="19" t="s">
        <v>139</v>
      </c>
      <c r="Y82" s="97" t="s">
        <v>205</v>
      </c>
      <c r="Z82" s="97" t="s">
        <v>155</v>
      </c>
      <c r="AA82" s="97" t="s">
        <v>112</v>
      </c>
      <c r="AB82" s="97">
        <v>30</v>
      </c>
      <c r="AC82" s="97">
        <v>792</v>
      </c>
      <c r="AD82" s="97">
        <v>1010</v>
      </c>
      <c r="AE82" s="97">
        <f t="shared" ref="AE82:AE136" si="44">AB82*AC82</f>
        <v>23760</v>
      </c>
      <c r="AF82" s="97">
        <f t="shared" si="43"/>
        <v>30300</v>
      </c>
      <c r="AG82" s="97">
        <f t="shared" ref="AG82:AG136" si="45">AF82-AE82</f>
        <v>6540</v>
      </c>
      <c r="AH82" s="97" t="str">
        <f t="shared" ref="AH82:AH137" si="46">IF(AG82&gt;0,"profit","loss")</f>
        <v>profit</v>
      </c>
      <c r="AI82" s="100" t="b">
        <f t="shared" ref="AI82:AI137" si="47">AND(AG82&gt;0,AE82&gt;20000)</f>
        <v>1</v>
      </c>
    </row>
    <row r="83" spans="1:35" x14ac:dyDescent="0.3">
      <c r="A83" s="99">
        <v>45510</v>
      </c>
      <c r="B83" s="97" t="s">
        <v>149</v>
      </c>
      <c r="C83" s="19" t="s">
        <v>109</v>
      </c>
      <c r="D83" s="97" t="s">
        <v>131</v>
      </c>
      <c r="E83" s="97" t="s">
        <v>137</v>
      </c>
      <c r="F83" s="97" t="s">
        <v>112</v>
      </c>
      <c r="G83" s="97">
        <v>11</v>
      </c>
      <c r="H83" s="97">
        <v>830</v>
      </c>
      <c r="I83" s="97">
        <v>1386</v>
      </c>
      <c r="J83" s="97">
        <f t="shared" si="37"/>
        <v>9130</v>
      </c>
      <c r="K83" s="97">
        <f t="shared" si="38"/>
        <v>15246</v>
      </c>
      <c r="L83" s="97">
        <f t="shared" si="39"/>
        <v>6116</v>
      </c>
      <c r="M83" s="97" t="str">
        <f t="shared" si="40"/>
        <v>profit</v>
      </c>
      <c r="N83" s="100" t="b">
        <f t="shared" si="41"/>
        <v>0</v>
      </c>
      <c r="V83" s="99">
        <v>45527</v>
      </c>
      <c r="W83" s="97" t="s">
        <v>286</v>
      </c>
      <c r="X83" s="19" t="s">
        <v>139</v>
      </c>
      <c r="Y83" s="97" t="s">
        <v>205</v>
      </c>
      <c r="Z83" s="97" t="s">
        <v>151</v>
      </c>
      <c r="AA83" s="97" t="s">
        <v>112</v>
      </c>
      <c r="AB83" s="97">
        <v>22</v>
      </c>
      <c r="AC83" s="97">
        <v>774</v>
      </c>
      <c r="AD83" s="97">
        <v>1387</v>
      </c>
      <c r="AE83" s="97">
        <f t="shared" si="44"/>
        <v>17028</v>
      </c>
      <c r="AF83" s="97">
        <f t="shared" si="43"/>
        <v>30514</v>
      </c>
      <c r="AG83" s="97">
        <f t="shared" si="45"/>
        <v>13486</v>
      </c>
      <c r="AH83" s="97" t="str">
        <f t="shared" si="46"/>
        <v>profit</v>
      </c>
      <c r="AI83" s="100" t="b">
        <f t="shared" si="47"/>
        <v>0</v>
      </c>
    </row>
    <row r="84" spans="1:35" x14ac:dyDescent="0.3">
      <c r="A84" s="99">
        <v>45511</v>
      </c>
      <c r="B84" s="97" t="s">
        <v>150</v>
      </c>
      <c r="C84" s="19" t="s">
        <v>109</v>
      </c>
      <c r="D84" s="97" t="s">
        <v>131</v>
      </c>
      <c r="E84" s="97" t="s">
        <v>151</v>
      </c>
      <c r="F84" s="97" t="s">
        <v>112</v>
      </c>
      <c r="G84" s="97">
        <v>11</v>
      </c>
      <c r="H84" s="97">
        <v>930</v>
      </c>
      <c r="I84" s="97">
        <v>876</v>
      </c>
      <c r="J84" s="97">
        <f t="shared" si="37"/>
        <v>10230</v>
      </c>
      <c r="K84" s="97">
        <f t="shared" si="38"/>
        <v>9636</v>
      </c>
      <c r="L84" s="97">
        <f t="shared" si="39"/>
        <v>-594</v>
      </c>
      <c r="M84" s="97" t="str">
        <f t="shared" si="40"/>
        <v>loss</v>
      </c>
      <c r="N84" s="100" t="b">
        <f t="shared" si="41"/>
        <v>0</v>
      </c>
      <c r="V84" s="99">
        <v>45642</v>
      </c>
      <c r="W84" s="97" t="s">
        <v>287</v>
      </c>
      <c r="X84" s="19" t="s">
        <v>127</v>
      </c>
      <c r="Y84" s="97" t="s">
        <v>186</v>
      </c>
      <c r="Z84" s="97" t="s">
        <v>133</v>
      </c>
      <c r="AA84" s="97" t="s">
        <v>112</v>
      </c>
      <c r="AB84" s="97">
        <v>56</v>
      </c>
      <c r="AC84" s="97">
        <v>516</v>
      </c>
      <c r="AD84" s="97">
        <v>1316</v>
      </c>
      <c r="AE84" s="97">
        <f t="shared" si="44"/>
        <v>28896</v>
      </c>
      <c r="AF84" s="97">
        <f t="shared" si="43"/>
        <v>73696</v>
      </c>
      <c r="AG84" s="97">
        <f t="shared" si="45"/>
        <v>44800</v>
      </c>
      <c r="AH84" s="97" t="str">
        <f t="shared" si="46"/>
        <v>profit</v>
      </c>
      <c r="AI84" s="100" t="b">
        <f t="shared" si="47"/>
        <v>1</v>
      </c>
    </row>
    <row r="85" spans="1:35" x14ac:dyDescent="0.3">
      <c r="A85" s="99">
        <v>45513</v>
      </c>
      <c r="B85" s="97" t="s">
        <v>152</v>
      </c>
      <c r="C85" s="19" t="s">
        <v>109</v>
      </c>
      <c r="D85" s="97" t="s">
        <v>131</v>
      </c>
      <c r="E85" s="97" t="s">
        <v>133</v>
      </c>
      <c r="F85" s="97" t="s">
        <v>112</v>
      </c>
      <c r="G85" s="97">
        <v>19</v>
      </c>
      <c r="H85" s="97">
        <v>654</v>
      </c>
      <c r="I85" s="97">
        <v>1295</v>
      </c>
      <c r="J85" s="97">
        <f t="shared" si="37"/>
        <v>12426</v>
      </c>
      <c r="K85" s="97">
        <f t="shared" si="38"/>
        <v>24605</v>
      </c>
      <c r="L85" s="97">
        <f t="shared" si="39"/>
        <v>12179</v>
      </c>
      <c r="M85" s="97" t="str">
        <f t="shared" si="40"/>
        <v>profit</v>
      </c>
      <c r="N85" s="100" t="b">
        <f t="shared" si="41"/>
        <v>0</v>
      </c>
      <c r="V85" s="99">
        <v>45589</v>
      </c>
      <c r="W85" s="97" t="s">
        <v>288</v>
      </c>
      <c r="X85" s="19" t="s">
        <v>139</v>
      </c>
      <c r="Y85" s="97" t="s">
        <v>220</v>
      </c>
      <c r="Z85" s="97" t="s">
        <v>151</v>
      </c>
      <c r="AA85" s="97" t="s">
        <v>112</v>
      </c>
      <c r="AB85" s="97">
        <v>20</v>
      </c>
      <c r="AC85" s="97">
        <v>999</v>
      </c>
      <c r="AD85" s="97">
        <v>1191</v>
      </c>
      <c r="AE85" s="97">
        <f t="shared" si="44"/>
        <v>19980</v>
      </c>
      <c r="AF85" s="97">
        <f t="shared" si="43"/>
        <v>23820</v>
      </c>
      <c r="AG85" s="97">
        <f t="shared" si="45"/>
        <v>3840</v>
      </c>
      <c r="AH85" s="97" t="str">
        <f t="shared" si="46"/>
        <v>profit</v>
      </c>
      <c r="AI85" s="100" t="b">
        <f t="shared" si="47"/>
        <v>0</v>
      </c>
    </row>
    <row r="86" spans="1:35" x14ac:dyDescent="0.3">
      <c r="A86" s="99">
        <v>45514</v>
      </c>
      <c r="B86" s="97" t="s">
        <v>156</v>
      </c>
      <c r="C86" s="19" t="s">
        <v>109</v>
      </c>
      <c r="D86" s="97" t="s">
        <v>131</v>
      </c>
      <c r="E86" s="97" t="s">
        <v>133</v>
      </c>
      <c r="F86" s="97" t="s">
        <v>112</v>
      </c>
      <c r="G86" s="97">
        <v>18</v>
      </c>
      <c r="H86" s="97">
        <v>767</v>
      </c>
      <c r="I86" s="97">
        <v>988</v>
      </c>
      <c r="J86" s="97">
        <f t="shared" si="37"/>
        <v>13806</v>
      </c>
      <c r="K86" s="97">
        <f t="shared" si="38"/>
        <v>17784</v>
      </c>
      <c r="L86" s="97">
        <f t="shared" si="39"/>
        <v>3978</v>
      </c>
      <c r="M86" s="97" t="str">
        <f t="shared" si="40"/>
        <v>profit</v>
      </c>
      <c r="N86" s="100" t="b">
        <f t="shared" si="41"/>
        <v>0</v>
      </c>
      <c r="V86" s="99">
        <v>45591</v>
      </c>
      <c r="W86" s="97" t="s">
        <v>289</v>
      </c>
      <c r="X86" s="19" t="s">
        <v>139</v>
      </c>
      <c r="Y86" s="97" t="s">
        <v>220</v>
      </c>
      <c r="Z86" s="97" t="s">
        <v>125</v>
      </c>
      <c r="AA86" s="97" t="s">
        <v>123</v>
      </c>
      <c r="AB86" s="97">
        <v>29</v>
      </c>
      <c r="AC86" s="97">
        <v>661</v>
      </c>
      <c r="AD86" s="97">
        <v>1400</v>
      </c>
      <c r="AE86" s="97">
        <f t="shared" si="44"/>
        <v>19169</v>
      </c>
      <c r="AF86" s="97">
        <f t="shared" si="43"/>
        <v>40600</v>
      </c>
      <c r="AG86" s="97">
        <f t="shared" si="45"/>
        <v>21431</v>
      </c>
      <c r="AH86" s="97" t="str">
        <f t="shared" si="46"/>
        <v>profit</v>
      </c>
      <c r="AI86" s="100" t="b">
        <f t="shared" si="47"/>
        <v>0</v>
      </c>
    </row>
    <row r="87" spans="1:35" x14ac:dyDescent="0.3">
      <c r="A87" s="99">
        <v>45515</v>
      </c>
      <c r="B87" s="97" t="s">
        <v>158</v>
      </c>
      <c r="C87" s="19" t="s">
        <v>109</v>
      </c>
      <c r="D87" s="97" t="s">
        <v>131</v>
      </c>
      <c r="E87" s="97" t="s">
        <v>137</v>
      </c>
      <c r="F87" s="97" t="s">
        <v>123</v>
      </c>
      <c r="G87" s="97">
        <v>12</v>
      </c>
      <c r="H87" s="97">
        <v>654</v>
      </c>
      <c r="I87" s="97">
        <v>788</v>
      </c>
      <c r="J87" s="97">
        <f t="shared" si="37"/>
        <v>7848</v>
      </c>
      <c r="K87" s="97">
        <f t="shared" si="38"/>
        <v>9456</v>
      </c>
      <c r="L87" s="97">
        <f t="shared" si="39"/>
        <v>1608</v>
      </c>
      <c r="M87" s="97" t="str">
        <f t="shared" si="40"/>
        <v>profit</v>
      </c>
      <c r="N87" s="100" t="b">
        <f t="shared" si="41"/>
        <v>0</v>
      </c>
      <c r="V87" s="99">
        <v>45596</v>
      </c>
      <c r="W87" s="97" t="s">
        <v>290</v>
      </c>
      <c r="X87" s="19" t="s">
        <v>139</v>
      </c>
      <c r="Y87" s="97" t="s">
        <v>140</v>
      </c>
      <c r="Z87" s="97" t="s">
        <v>111</v>
      </c>
      <c r="AA87" s="97" t="s">
        <v>123</v>
      </c>
      <c r="AB87" s="97">
        <v>30</v>
      </c>
      <c r="AC87" s="97">
        <v>539</v>
      </c>
      <c r="AD87" s="97">
        <v>1364</v>
      </c>
      <c r="AE87" s="97">
        <f t="shared" si="44"/>
        <v>16170</v>
      </c>
      <c r="AF87" s="97" t="s">
        <v>340</v>
      </c>
      <c r="AG87" s="97" t="e">
        <f t="shared" si="45"/>
        <v>#VALUE!</v>
      </c>
      <c r="AH87" s="97" t="e">
        <f t="shared" si="46"/>
        <v>#VALUE!</v>
      </c>
      <c r="AI87" s="100" t="e">
        <f t="shared" si="47"/>
        <v>#VALUE!</v>
      </c>
    </row>
    <row r="88" spans="1:35" x14ac:dyDescent="0.3">
      <c r="A88" s="99">
        <v>45516</v>
      </c>
      <c r="B88" s="97" t="s">
        <v>159</v>
      </c>
      <c r="C88" s="19" t="s">
        <v>109</v>
      </c>
      <c r="D88" s="97" t="s">
        <v>131</v>
      </c>
      <c r="E88" s="97" t="s">
        <v>122</v>
      </c>
      <c r="F88" s="97" t="s">
        <v>123</v>
      </c>
      <c r="G88" s="97">
        <v>11</v>
      </c>
      <c r="H88" s="97">
        <v>827</v>
      </c>
      <c r="I88" s="97">
        <v>765</v>
      </c>
      <c r="J88" s="97">
        <f t="shared" si="37"/>
        <v>9097</v>
      </c>
      <c r="K88" s="97">
        <f t="shared" si="38"/>
        <v>8415</v>
      </c>
      <c r="L88" s="97">
        <f t="shared" si="39"/>
        <v>-682</v>
      </c>
      <c r="M88" s="97" t="str">
        <f t="shared" si="40"/>
        <v>loss</v>
      </c>
      <c r="N88" s="100" t="b">
        <f t="shared" si="41"/>
        <v>0</v>
      </c>
      <c r="V88" s="99">
        <v>45597</v>
      </c>
      <c r="W88" s="97" t="s">
        <v>292</v>
      </c>
      <c r="X88" s="19" t="s">
        <v>139</v>
      </c>
      <c r="Y88" s="97" t="s">
        <v>140</v>
      </c>
      <c r="Z88" s="97" t="s">
        <v>115</v>
      </c>
      <c r="AA88" s="97" t="s">
        <v>123</v>
      </c>
      <c r="AB88" s="97">
        <v>26</v>
      </c>
      <c r="AC88" s="97">
        <v>726</v>
      </c>
      <c r="AD88" s="97">
        <v>1335</v>
      </c>
      <c r="AE88" s="97">
        <f t="shared" si="44"/>
        <v>18876</v>
      </c>
      <c r="AF88" s="97">
        <f t="shared" ref="AF88:AF95" si="48">AB88*AD88</f>
        <v>34710</v>
      </c>
      <c r="AG88" s="97">
        <f t="shared" si="45"/>
        <v>15834</v>
      </c>
      <c r="AH88" s="97" t="str">
        <f t="shared" si="46"/>
        <v>profit</v>
      </c>
      <c r="AI88" s="100" t="b">
        <f t="shared" si="47"/>
        <v>0</v>
      </c>
    </row>
    <row r="89" spans="1:35" x14ac:dyDescent="0.3">
      <c r="A89" s="99">
        <v>45543</v>
      </c>
      <c r="B89" s="97" t="s">
        <v>160</v>
      </c>
      <c r="C89" s="19" t="s">
        <v>109</v>
      </c>
      <c r="D89" s="97" t="s">
        <v>131</v>
      </c>
      <c r="E89" s="97" t="s">
        <v>161</v>
      </c>
      <c r="F89" s="97" t="s">
        <v>123</v>
      </c>
      <c r="G89" s="97">
        <v>12</v>
      </c>
      <c r="H89" s="97">
        <v>561</v>
      </c>
      <c r="I89" s="97">
        <v>1162</v>
      </c>
      <c r="J89" s="97">
        <f t="shared" si="37"/>
        <v>6732</v>
      </c>
      <c r="K89" s="97">
        <f t="shared" si="38"/>
        <v>13944</v>
      </c>
      <c r="L89" s="97">
        <f t="shared" si="39"/>
        <v>7212</v>
      </c>
      <c r="M89" s="97" t="str">
        <f t="shared" si="40"/>
        <v>profit</v>
      </c>
      <c r="N89" s="100" t="b">
        <f t="shared" si="41"/>
        <v>0</v>
      </c>
      <c r="V89" s="99">
        <v>45598</v>
      </c>
      <c r="W89" s="97" t="s">
        <v>294</v>
      </c>
      <c r="X89" s="19" t="s">
        <v>139</v>
      </c>
      <c r="Y89" s="97" t="s">
        <v>140</v>
      </c>
      <c r="Z89" s="97" t="s">
        <v>118</v>
      </c>
      <c r="AA89" s="97" t="s">
        <v>123</v>
      </c>
      <c r="AB89" s="97">
        <v>29</v>
      </c>
      <c r="AC89" s="97">
        <v>510</v>
      </c>
      <c r="AD89" s="97">
        <v>1131</v>
      </c>
      <c r="AE89" s="97">
        <f t="shared" si="44"/>
        <v>14790</v>
      </c>
      <c r="AF89" s="97">
        <f t="shared" si="48"/>
        <v>32799</v>
      </c>
      <c r="AG89" s="97">
        <f t="shared" si="45"/>
        <v>18009</v>
      </c>
      <c r="AH89" s="97" t="str">
        <f t="shared" si="46"/>
        <v>profit</v>
      </c>
      <c r="AI89" s="100" t="b">
        <f t="shared" si="47"/>
        <v>0</v>
      </c>
    </row>
    <row r="90" spans="1:35" x14ac:dyDescent="0.3">
      <c r="A90" s="99">
        <v>45544</v>
      </c>
      <c r="B90" s="97" t="s">
        <v>162</v>
      </c>
      <c r="C90" s="19" t="s">
        <v>109</v>
      </c>
      <c r="D90" s="97" t="s">
        <v>131</v>
      </c>
      <c r="E90" s="97" t="s">
        <v>137</v>
      </c>
      <c r="F90" s="97" t="s">
        <v>123</v>
      </c>
      <c r="G90" s="97">
        <v>12</v>
      </c>
      <c r="H90" s="97">
        <v>879</v>
      </c>
      <c r="I90" s="97">
        <v>1428</v>
      </c>
      <c r="J90" s="97">
        <f t="shared" si="37"/>
        <v>10548</v>
      </c>
      <c r="K90" s="97">
        <f t="shared" si="38"/>
        <v>17136</v>
      </c>
      <c r="L90" s="97">
        <f t="shared" si="39"/>
        <v>6588</v>
      </c>
      <c r="M90" s="97" t="str">
        <f t="shared" si="40"/>
        <v>profit</v>
      </c>
      <c r="N90" s="100" t="b">
        <f t="shared" si="41"/>
        <v>0</v>
      </c>
      <c r="V90" s="99">
        <v>45599</v>
      </c>
      <c r="W90" s="97" t="s">
        <v>295</v>
      </c>
      <c r="X90" s="19" t="s">
        <v>139</v>
      </c>
      <c r="Y90" s="97" t="s">
        <v>140</v>
      </c>
      <c r="Z90" s="97" t="s">
        <v>120</v>
      </c>
      <c r="AA90" s="97" t="s">
        <v>112</v>
      </c>
      <c r="AB90" s="97">
        <v>27</v>
      </c>
      <c r="AC90" s="97">
        <v>752</v>
      </c>
      <c r="AD90" s="97">
        <v>1258</v>
      </c>
      <c r="AE90" s="97">
        <f t="shared" si="44"/>
        <v>20304</v>
      </c>
      <c r="AF90" s="97">
        <f t="shared" si="48"/>
        <v>33966</v>
      </c>
      <c r="AG90" s="97">
        <f t="shared" si="45"/>
        <v>13662</v>
      </c>
      <c r="AH90" s="97" t="str">
        <f t="shared" si="46"/>
        <v>profit</v>
      </c>
      <c r="AI90" s="100" t="b">
        <f t="shared" si="47"/>
        <v>1</v>
      </c>
    </row>
    <row r="91" spans="1:35" x14ac:dyDescent="0.3">
      <c r="A91" s="99">
        <v>45545</v>
      </c>
      <c r="B91" s="97" t="s">
        <v>163</v>
      </c>
      <c r="C91" s="19" t="s">
        <v>109</v>
      </c>
      <c r="D91" s="97" t="s">
        <v>131</v>
      </c>
      <c r="E91" s="97" t="s">
        <v>120</v>
      </c>
      <c r="F91" s="97" t="s">
        <v>123</v>
      </c>
      <c r="G91" s="97">
        <v>13</v>
      </c>
      <c r="H91" s="97">
        <v>523</v>
      </c>
      <c r="I91" s="97">
        <v>1326</v>
      </c>
      <c r="J91" s="97">
        <f t="shared" si="37"/>
        <v>6799</v>
      </c>
      <c r="K91" s="97">
        <f t="shared" si="38"/>
        <v>17238</v>
      </c>
      <c r="L91" s="97">
        <f t="shared" si="39"/>
        <v>10439</v>
      </c>
      <c r="M91" s="97" t="str">
        <f t="shared" si="40"/>
        <v>profit</v>
      </c>
      <c r="N91" s="100" t="b">
        <f t="shared" si="41"/>
        <v>0</v>
      </c>
      <c r="V91" s="99">
        <v>45600</v>
      </c>
      <c r="W91" s="97" t="s">
        <v>296</v>
      </c>
      <c r="X91" s="19" t="s">
        <v>139</v>
      </c>
      <c r="Y91" s="97" t="s">
        <v>140</v>
      </c>
      <c r="Z91" s="97" t="s">
        <v>120</v>
      </c>
      <c r="AA91" s="97" t="s">
        <v>112</v>
      </c>
      <c r="AB91" s="97">
        <v>28</v>
      </c>
      <c r="AC91" s="97">
        <v>924</v>
      </c>
      <c r="AD91" s="97">
        <v>847</v>
      </c>
      <c r="AE91" s="97">
        <f t="shared" si="44"/>
        <v>25872</v>
      </c>
      <c r="AF91" s="97">
        <f t="shared" si="48"/>
        <v>23716</v>
      </c>
      <c r="AG91" s="97">
        <f t="shared" si="45"/>
        <v>-2156</v>
      </c>
      <c r="AH91" s="97" t="str">
        <f t="shared" si="46"/>
        <v>loss</v>
      </c>
      <c r="AI91" s="100" t="b">
        <f t="shared" si="47"/>
        <v>0</v>
      </c>
    </row>
    <row r="92" spans="1:35" x14ac:dyDescent="0.3">
      <c r="A92" s="99">
        <v>45546</v>
      </c>
      <c r="B92" s="97" t="s">
        <v>164</v>
      </c>
      <c r="C92" s="19" t="s">
        <v>109</v>
      </c>
      <c r="D92" s="97" t="s">
        <v>131</v>
      </c>
      <c r="E92" s="97" t="s">
        <v>155</v>
      </c>
      <c r="F92" s="97" t="s">
        <v>123</v>
      </c>
      <c r="G92" s="97">
        <v>10</v>
      </c>
      <c r="H92" s="97">
        <v>990</v>
      </c>
      <c r="I92" s="97">
        <v>1030</v>
      </c>
      <c r="J92" s="97">
        <f t="shared" si="37"/>
        <v>9900</v>
      </c>
      <c r="K92" s="97">
        <f t="shared" si="38"/>
        <v>10300</v>
      </c>
      <c r="L92" s="97">
        <f t="shared" si="39"/>
        <v>400</v>
      </c>
      <c r="M92" s="97" t="str">
        <f t="shared" si="40"/>
        <v>profit</v>
      </c>
      <c r="N92" s="100" t="b">
        <f t="shared" si="41"/>
        <v>0</v>
      </c>
      <c r="V92" s="99">
        <v>45653</v>
      </c>
      <c r="W92" s="97" t="s">
        <v>298</v>
      </c>
      <c r="X92" s="19" t="s">
        <v>127</v>
      </c>
      <c r="Y92" s="97" t="s">
        <v>207</v>
      </c>
      <c r="Z92" s="97" t="s">
        <v>115</v>
      </c>
      <c r="AA92" s="97" t="s">
        <v>123</v>
      </c>
      <c r="AB92" s="97">
        <v>59</v>
      </c>
      <c r="AC92" s="97">
        <v>774</v>
      </c>
      <c r="AD92" s="97">
        <v>1374</v>
      </c>
      <c r="AE92" s="97">
        <f t="shared" si="44"/>
        <v>45666</v>
      </c>
      <c r="AF92" s="97">
        <f t="shared" si="48"/>
        <v>81066</v>
      </c>
      <c r="AG92" s="97">
        <f t="shared" si="45"/>
        <v>35400</v>
      </c>
      <c r="AH92" s="97" t="str">
        <f t="shared" si="46"/>
        <v>profit</v>
      </c>
      <c r="AI92" s="100" t="b">
        <f t="shared" si="47"/>
        <v>1</v>
      </c>
    </row>
    <row r="93" spans="1:35" x14ac:dyDescent="0.3">
      <c r="A93" s="99">
        <v>45475</v>
      </c>
      <c r="B93" s="97" t="s">
        <v>203</v>
      </c>
      <c r="C93" s="19" t="s">
        <v>109</v>
      </c>
      <c r="D93" s="97" t="s">
        <v>131</v>
      </c>
      <c r="E93" s="97" t="s">
        <v>137</v>
      </c>
      <c r="F93" s="97" t="s">
        <v>112</v>
      </c>
      <c r="G93" s="97">
        <v>15</v>
      </c>
      <c r="H93" s="97">
        <v>910</v>
      </c>
      <c r="I93" s="97">
        <v>916</v>
      </c>
      <c r="J93" s="97">
        <f t="shared" si="37"/>
        <v>13650</v>
      </c>
      <c r="K93" s="97">
        <f t="shared" si="38"/>
        <v>13740</v>
      </c>
      <c r="L93" s="97">
        <f t="shared" si="39"/>
        <v>90</v>
      </c>
      <c r="M93" s="97" t="str">
        <f t="shared" si="40"/>
        <v>profit</v>
      </c>
      <c r="N93" s="100" t="b">
        <f t="shared" si="41"/>
        <v>0</v>
      </c>
      <c r="V93" s="99">
        <v>45609</v>
      </c>
      <c r="W93" s="97" t="s">
        <v>299</v>
      </c>
      <c r="X93" s="19" t="s">
        <v>139</v>
      </c>
      <c r="Y93" s="97" t="s">
        <v>154</v>
      </c>
      <c r="Z93" s="97" t="s">
        <v>166</v>
      </c>
      <c r="AA93" s="97" t="s">
        <v>123</v>
      </c>
      <c r="AB93" s="97">
        <v>23</v>
      </c>
      <c r="AC93" s="97">
        <v>584</v>
      </c>
      <c r="AD93" s="97">
        <v>1140</v>
      </c>
      <c r="AE93" s="97">
        <f t="shared" si="44"/>
        <v>13432</v>
      </c>
      <c r="AF93" s="97">
        <f t="shared" si="48"/>
        <v>26220</v>
      </c>
      <c r="AG93" s="97">
        <f t="shared" si="45"/>
        <v>12788</v>
      </c>
      <c r="AH93" s="97" t="str">
        <f t="shared" si="46"/>
        <v>profit</v>
      </c>
      <c r="AI93" s="100" t="b">
        <f t="shared" si="47"/>
        <v>0</v>
      </c>
    </row>
    <row r="94" spans="1:35" x14ac:dyDescent="0.3">
      <c r="A94" s="99">
        <v>45547</v>
      </c>
      <c r="B94" s="97" t="s">
        <v>165</v>
      </c>
      <c r="C94" s="19" t="s">
        <v>109</v>
      </c>
      <c r="D94" s="97" t="s">
        <v>131</v>
      </c>
      <c r="E94" s="97" t="s">
        <v>166</v>
      </c>
      <c r="F94" s="97" t="s">
        <v>112</v>
      </c>
      <c r="G94" s="97">
        <v>12</v>
      </c>
      <c r="H94" s="97">
        <v>707</v>
      </c>
      <c r="I94" s="97">
        <v>1203</v>
      </c>
      <c r="J94" s="97">
        <f t="shared" si="37"/>
        <v>8484</v>
      </c>
      <c r="K94" s="97">
        <f t="shared" si="38"/>
        <v>14436</v>
      </c>
      <c r="L94" s="97">
        <f t="shared" si="39"/>
        <v>5952</v>
      </c>
      <c r="M94" s="97" t="str">
        <f t="shared" si="40"/>
        <v>profit</v>
      </c>
      <c r="N94" s="100" t="b">
        <f t="shared" si="41"/>
        <v>0</v>
      </c>
      <c r="V94" s="99">
        <v>45611</v>
      </c>
      <c r="W94" s="97" t="s">
        <v>300</v>
      </c>
      <c r="X94" s="19" t="s">
        <v>139</v>
      </c>
      <c r="Y94" s="97" t="s">
        <v>154</v>
      </c>
      <c r="Z94" s="97" t="s">
        <v>129</v>
      </c>
      <c r="AA94" s="97" t="s">
        <v>123</v>
      </c>
      <c r="AB94" s="97">
        <v>21</v>
      </c>
      <c r="AC94" s="97">
        <v>608</v>
      </c>
      <c r="AD94" s="97">
        <v>983</v>
      </c>
      <c r="AE94" s="97">
        <f t="shared" si="44"/>
        <v>12768</v>
      </c>
      <c r="AF94" s="97">
        <f t="shared" si="48"/>
        <v>20643</v>
      </c>
      <c r="AG94" s="97">
        <f t="shared" si="45"/>
        <v>7875</v>
      </c>
      <c r="AH94" s="97" t="str">
        <f t="shared" si="46"/>
        <v>profit</v>
      </c>
      <c r="AI94" s="100" t="b">
        <f t="shared" si="47"/>
        <v>0</v>
      </c>
    </row>
    <row r="95" spans="1:35" x14ac:dyDescent="0.3">
      <c r="A95" s="99">
        <v>45548</v>
      </c>
      <c r="B95" s="97" t="s">
        <v>167</v>
      </c>
      <c r="C95" s="19" t="s">
        <v>109</v>
      </c>
      <c r="D95" s="97" t="s">
        <v>131</v>
      </c>
      <c r="E95" s="97" t="s">
        <v>168</v>
      </c>
      <c r="F95" s="97" t="s">
        <v>112</v>
      </c>
      <c r="G95" s="97">
        <v>13</v>
      </c>
      <c r="H95" s="97">
        <v>515</v>
      </c>
      <c r="I95" s="97">
        <v>1095</v>
      </c>
      <c r="J95" s="97">
        <f t="shared" si="37"/>
        <v>6695</v>
      </c>
      <c r="K95" s="97">
        <f t="shared" si="38"/>
        <v>14235</v>
      </c>
      <c r="L95" s="97">
        <f t="shared" si="39"/>
        <v>7540</v>
      </c>
      <c r="M95" s="97" t="str">
        <f t="shared" si="40"/>
        <v>profit</v>
      </c>
      <c r="N95" s="100" t="b">
        <f t="shared" si="41"/>
        <v>0</v>
      </c>
      <c r="V95" s="99">
        <v>45612</v>
      </c>
      <c r="W95" s="97" t="s">
        <v>301</v>
      </c>
      <c r="X95" s="19" t="s">
        <v>139</v>
      </c>
      <c r="Y95" s="97" t="s">
        <v>154</v>
      </c>
      <c r="Z95" s="97" t="s">
        <v>137</v>
      </c>
      <c r="AA95" s="97" t="s">
        <v>123</v>
      </c>
      <c r="AB95" s="97">
        <v>30</v>
      </c>
      <c r="AC95" s="97">
        <v>712</v>
      </c>
      <c r="AD95" s="97">
        <v>1311</v>
      </c>
      <c r="AE95" s="97">
        <f t="shared" si="44"/>
        <v>21360</v>
      </c>
      <c r="AF95" s="97">
        <f t="shared" si="48"/>
        <v>39330</v>
      </c>
      <c r="AG95" s="97">
        <f t="shared" si="45"/>
        <v>17970</v>
      </c>
      <c r="AH95" s="97" t="str">
        <f t="shared" si="46"/>
        <v>profit</v>
      </c>
      <c r="AI95" s="100" t="b">
        <f t="shared" si="47"/>
        <v>1</v>
      </c>
    </row>
    <row r="96" spans="1:35" x14ac:dyDescent="0.3">
      <c r="A96" s="99">
        <v>45550</v>
      </c>
      <c r="B96" s="97" t="s">
        <v>169</v>
      </c>
      <c r="C96" s="19" t="s">
        <v>109</v>
      </c>
      <c r="D96" s="97" t="s">
        <v>131</v>
      </c>
      <c r="E96" s="97" t="s">
        <v>137</v>
      </c>
      <c r="F96" s="97" t="s">
        <v>112</v>
      </c>
      <c r="G96" s="97">
        <v>12</v>
      </c>
      <c r="H96" s="97">
        <v>671</v>
      </c>
      <c r="I96" s="97">
        <v>850</v>
      </c>
      <c r="J96" s="97">
        <f t="shared" si="37"/>
        <v>8052</v>
      </c>
      <c r="K96" s="97">
        <f t="shared" si="38"/>
        <v>10200</v>
      </c>
      <c r="L96" s="97">
        <f t="shared" si="39"/>
        <v>2148</v>
      </c>
      <c r="M96" s="97" t="str">
        <f t="shared" si="40"/>
        <v>profit</v>
      </c>
      <c r="N96" s="100" t="b">
        <f t="shared" si="41"/>
        <v>0</v>
      </c>
      <c r="V96" s="99">
        <v>45615</v>
      </c>
      <c r="W96" s="97" t="s">
        <v>303</v>
      </c>
      <c r="X96" s="19" t="s">
        <v>139</v>
      </c>
      <c r="Y96" s="97" t="s">
        <v>154</v>
      </c>
      <c r="Z96" s="97" t="s">
        <v>133</v>
      </c>
      <c r="AA96" s="97" t="s">
        <v>112</v>
      </c>
      <c r="AB96" s="97">
        <v>29</v>
      </c>
      <c r="AC96" s="97">
        <v>520</v>
      </c>
      <c r="AD96" s="97">
        <v>770</v>
      </c>
      <c r="AE96" s="97">
        <f t="shared" si="44"/>
        <v>15080</v>
      </c>
      <c r="AF96" s="97" t="s">
        <v>340</v>
      </c>
      <c r="AG96" s="97" t="e">
        <f t="shared" si="45"/>
        <v>#VALUE!</v>
      </c>
      <c r="AH96" s="97" t="e">
        <f t="shared" si="46"/>
        <v>#VALUE!</v>
      </c>
      <c r="AI96" s="100" t="e">
        <f t="shared" si="47"/>
        <v>#VALUE!</v>
      </c>
    </row>
    <row r="97" spans="1:35" x14ac:dyDescent="0.3">
      <c r="A97" s="99">
        <v>45551</v>
      </c>
      <c r="B97" s="97" t="s">
        <v>170</v>
      </c>
      <c r="C97" s="19" t="s">
        <v>109</v>
      </c>
      <c r="D97" s="97" t="s">
        <v>131</v>
      </c>
      <c r="E97" s="97" t="s">
        <v>151</v>
      </c>
      <c r="F97" s="97" t="s">
        <v>112</v>
      </c>
      <c r="G97" s="97">
        <v>12</v>
      </c>
      <c r="H97" s="97">
        <v>500</v>
      </c>
      <c r="I97" s="97">
        <v>1276</v>
      </c>
      <c r="J97" s="97">
        <f t="shared" si="37"/>
        <v>6000</v>
      </c>
      <c r="K97" s="97">
        <f t="shared" si="38"/>
        <v>15312</v>
      </c>
      <c r="L97" s="97">
        <f t="shared" si="39"/>
        <v>9312</v>
      </c>
      <c r="M97" s="97" t="str">
        <f t="shared" si="40"/>
        <v>profit</v>
      </c>
      <c r="N97" s="100" t="b">
        <f t="shared" si="41"/>
        <v>0</v>
      </c>
      <c r="V97" s="99">
        <v>45617</v>
      </c>
      <c r="W97" s="97" t="s">
        <v>304</v>
      </c>
      <c r="X97" s="19" t="s">
        <v>139</v>
      </c>
      <c r="Y97" s="97" t="s">
        <v>154</v>
      </c>
      <c r="Z97" s="97" t="s">
        <v>137</v>
      </c>
      <c r="AA97" s="97" t="s">
        <v>123</v>
      </c>
      <c r="AB97" s="97">
        <v>28</v>
      </c>
      <c r="AC97" s="97">
        <v>884</v>
      </c>
      <c r="AD97" s="97">
        <v>1165</v>
      </c>
      <c r="AE97" s="97">
        <f t="shared" si="44"/>
        <v>24752</v>
      </c>
      <c r="AF97" s="97">
        <f t="shared" ref="AF97:AF109" si="49">AB97*AD97</f>
        <v>32620</v>
      </c>
      <c r="AG97" s="97">
        <f t="shared" si="45"/>
        <v>7868</v>
      </c>
      <c r="AH97" s="97" t="str">
        <f t="shared" si="46"/>
        <v>profit</v>
      </c>
      <c r="AI97" s="100" t="b">
        <f t="shared" si="47"/>
        <v>1</v>
      </c>
    </row>
    <row r="98" spans="1:35" x14ac:dyDescent="0.3">
      <c r="A98" s="99">
        <v>45552</v>
      </c>
      <c r="B98" s="97" t="s">
        <v>171</v>
      </c>
      <c r="C98" s="19" t="s">
        <v>109</v>
      </c>
      <c r="D98" s="97" t="s">
        <v>131</v>
      </c>
      <c r="E98" s="97" t="s">
        <v>129</v>
      </c>
      <c r="F98" s="97" t="s">
        <v>112</v>
      </c>
      <c r="G98" s="97">
        <v>18</v>
      </c>
      <c r="H98" s="97">
        <v>602</v>
      </c>
      <c r="I98" s="97">
        <v>1401</v>
      </c>
      <c r="J98" s="97">
        <f t="shared" si="37"/>
        <v>10836</v>
      </c>
      <c r="K98" s="97">
        <f t="shared" si="38"/>
        <v>25218</v>
      </c>
      <c r="L98" s="97">
        <f t="shared" si="39"/>
        <v>14382</v>
      </c>
      <c r="M98" s="97" t="str">
        <f t="shared" si="40"/>
        <v>profit</v>
      </c>
      <c r="N98" s="100" t="b">
        <f t="shared" si="41"/>
        <v>0</v>
      </c>
      <c r="V98" s="99">
        <v>45660</v>
      </c>
      <c r="W98" s="97" t="s">
        <v>305</v>
      </c>
      <c r="X98" s="19" t="s">
        <v>109</v>
      </c>
      <c r="Y98" s="97" t="s">
        <v>110</v>
      </c>
      <c r="Z98" s="97" t="s">
        <v>166</v>
      </c>
      <c r="AA98" s="97" t="s">
        <v>112</v>
      </c>
      <c r="AB98" s="97">
        <v>11</v>
      </c>
      <c r="AC98" s="97">
        <v>562</v>
      </c>
      <c r="AD98" s="97">
        <v>800</v>
      </c>
      <c r="AE98" s="97">
        <f t="shared" si="44"/>
        <v>6182</v>
      </c>
      <c r="AF98" s="97">
        <f t="shared" si="49"/>
        <v>8800</v>
      </c>
      <c r="AG98" s="97">
        <f t="shared" si="45"/>
        <v>2618</v>
      </c>
      <c r="AH98" s="97" t="str">
        <f t="shared" si="46"/>
        <v>profit</v>
      </c>
      <c r="AI98" s="100" t="b">
        <f t="shared" si="47"/>
        <v>0</v>
      </c>
    </row>
    <row r="99" spans="1:35" x14ac:dyDescent="0.3">
      <c r="A99" s="99">
        <v>45553</v>
      </c>
      <c r="B99" s="97" t="s">
        <v>172</v>
      </c>
      <c r="C99" s="19" t="s">
        <v>109</v>
      </c>
      <c r="D99" s="97" t="s">
        <v>131</v>
      </c>
      <c r="E99" s="97" t="s">
        <v>133</v>
      </c>
      <c r="F99" s="97" t="s">
        <v>112</v>
      </c>
      <c r="G99" s="97">
        <v>18</v>
      </c>
      <c r="H99" s="97">
        <v>629</v>
      </c>
      <c r="I99" s="97">
        <v>945</v>
      </c>
      <c r="J99" s="97">
        <f t="shared" si="37"/>
        <v>11322</v>
      </c>
      <c r="K99" s="97">
        <f t="shared" si="38"/>
        <v>17010</v>
      </c>
      <c r="L99" s="97">
        <f t="shared" si="39"/>
        <v>5688</v>
      </c>
      <c r="M99" s="97" t="str">
        <f t="shared" si="40"/>
        <v>profit</v>
      </c>
      <c r="N99" s="100" t="b">
        <f t="shared" si="41"/>
        <v>0</v>
      </c>
      <c r="V99" s="99">
        <v>45618</v>
      </c>
      <c r="W99" s="97" t="s">
        <v>306</v>
      </c>
      <c r="X99" s="19" t="s">
        <v>139</v>
      </c>
      <c r="Y99" s="97" t="s">
        <v>154</v>
      </c>
      <c r="Z99" s="97" t="s">
        <v>122</v>
      </c>
      <c r="AA99" s="97" t="s">
        <v>123</v>
      </c>
      <c r="AB99" s="97">
        <v>25</v>
      </c>
      <c r="AC99" s="97">
        <v>990</v>
      </c>
      <c r="AD99" s="97">
        <v>868</v>
      </c>
      <c r="AE99" s="97">
        <f t="shared" si="44"/>
        <v>24750</v>
      </c>
      <c r="AF99" s="97">
        <f t="shared" si="49"/>
        <v>21700</v>
      </c>
      <c r="AG99" s="97">
        <f t="shared" si="45"/>
        <v>-3050</v>
      </c>
      <c r="AH99" s="97" t="str">
        <f t="shared" si="46"/>
        <v>loss</v>
      </c>
      <c r="AI99" s="100" t="b">
        <f t="shared" si="47"/>
        <v>0</v>
      </c>
    </row>
    <row r="100" spans="1:35" x14ac:dyDescent="0.3">
      <c r="A100" s="99">
        <v>45562</v>
      </c>
      <c r="B100" s="97" t="s">
        <v>173</v>
      </c>
      <c r="C100" s="19" t="s">
        <v>109</v>
      </c>
      <c r="D100" s="97" t="s">
        <v>110</v>
      </c>
      <c r="E100" s="97" t="s">
        <v>129</v>
      </c>
      <c r="F100" s="97" t="s">
        <v>123</v>
      </c>
      <c r="G100" s="97">
        <v>17</v>
      </c>
      <c r="H100" s="97">
        <v>565</v>
      </c>
      <c r="I100" s="97">
        <v>1281</v>
      </c>
      <c r="J100" s="97">
        <f t="shared" si="37"/>
        <v>9605</v>
      </c>
      <c r="K100" s="97">
        <f t="shared" si="38"/>
        <v>21777</v>
      </c>
      <c r="L100" s="97">
        <f t="shared" si="39"/>
        <v>12172</v>
      </c>
      <c r="M100" s="97" t="str">
        <f t="shared" si="40"/>
        <v>profit</v>
      </c>
      <c r="N100" s="100" t="b">
        <f t="shared" si="41"/>
        <v>0</v>
      </c>
      <c r="V100" s="99">
        <v>45662</v>
      </c>
      <c r="W100" s="97" t="s">
        <v>307</v>
      </c>
      <c r="X100" s="19" t="s">
        <v>109</v>
      </c>
      <c r="Y100" s="97" t="s">
        <v>110</v>
      </c>
      <c r="Z100" s="97" t="s">
        <v>137</v>
      </c>
      <c r="AA100" s="97" t="s">
        <v>112</v>
      </c>
      <c r="AB100" s="97">
        <v>15</v>
      </c>
      <c r="AC100" s="97">
        <v>992</v>
      </c>
      <c r="AD100" s="97">
        <v>1404</v>
      </c>
      <c r="AE100" s="97">
        <f t="shared" si="44"/>
        <v>14880</v>
      </c>
      <c r="AF100" s="97">
        <f t="shared" si="49"/>
        <v>21060</v>
      </c>
      <c r="AG100" s="97">
        <f t="shared" si="45"/>
        <v>6180</v>
      </c>
      <c r="AH100" s="97" t="str">
        <f t="shared" si="46"/>
        <v>profit</v>
      </c>
      <c r="AI100" s="100" t="b">
        <f t="shared" si="47"/>
        <v>0</v>
      </c>
    </row>
    <row r="101" spans="1:35" x14ac:dyDescent="0.3">
      <c r="A101" s="99">
        <v>45564</v>
      </c>
      <c r="B101" s="97" t="s">
        <v>174</v>
      </c>
      <c r="C101" s="19" t="s">
        <v>109</v>
      </c>
      <c r="D101" s="97" t="s">
        <v>110</v>
      </c>
      <c r="E101" s="97" t="s">
        <v>133</v>
      </c>
      <c r="F101" s="97" t="s">
        <v>112</v>
      </c>
      <c r="G101" s="97">
        <v>10</v>
      </c>
      <c r="H101" s="97">
        <v>917</v>
      </c>
      <c r="I101" s="97">
        <v>1107</v>
      </c>
      <c r="J101" s="97">
        <f t="shared" si="37"/>
        <v>9170</v>
      </c>
      <c r="K101" s="97">
        <f t="shared" si="38"/>
        <v>11070</v>
      </c>
      <c r="L101" s="97">
        <f t="shared" si="39"/>
        <v>1900</v>
      </c>
      <c r="M101" s="97" t="str">
        <f t="shared" si="40"/>
        <v>profit</v>
      </c>
      <c r="N101" s="100" t="b">
        <f t="shared" si="41"/>
        <v>0</v>
      </c>
      <c r="V101" s="99">
        <v>45619</v>
      </c>
      <c r="W101" s="97" t="s">
        <v>308</v>
      </c>
      <c r="X101" s="19" t="s">
        <v>139</v>
      </c>
      <c r="Y101" s="97" t="s">
        <v>154</v>
      </c>
      <c r="Z101" s="97" t="s">
        <v>137</v>
      </c>
      <c r="AA101" s="97" t="s">
        <v>123</v>
      </c>
      <c r="AB101" s="97">
        <v>22</v>
      </c>
      <c r="AC101" s="97">
        <v>524</v>
      </c>
      <c r="AD101" s="97">
        <v>1156</v>
      </c>
      <c r="AE101" s="97">
        <f t="shared" si="44"/>
        <v>11528</v>
      </c>
      <c r="AF101" s="97">
        <f t="shared" si="49"/>
        <v>25432</v>
      </c>
      <c r="AG101" s="97">
        <f t="shared" si="45"/>
        <v>13904</v>
      </c>
      <c r="AH101" s="97" t="str">
        <f t="shared" si="46"/>
        <v>profit</v>
      </c>
      <c r="AI101" s="100" t="b">
        <f t="shared" si="47"/>
        <v>0</v>
      </c>
    </row>
    <row r="102" spans="1:35" x14ac:dyDescent="0.3">
      <c r="A102" s="99">
        <v>45566</v>
      </c>
      <c r="B102" s="97" t="s">
        <v>175</v>
      </c>
      <c r="C102" s="19" t="s">
        <v>109</v>
      </c>
      <c r="D102" s="97" t="s">
        <v>110</v>
      </c>
      <c r="E102" s="97" t="s">
        <v>155</v>
      </c>
      <c r="F102" s="97" t="s">
        <v>112</v>
      </c>
      <c r="G102" s="97">
        <v>18</v>
      </c>
      <c r="H102" s="97">
        <v>867</v>
      </c>
      <c r="I102" s="97">
        <v>875</v>
      </c>
      <c r="J102" s="97">
        <f t="shared" si="37"/>
        <v>15606</v>
      </c>
      <c r="K102" s="97">
        <f t="shared" si="38"/>
        <v>15750</v>
      </c>
      <c r="L102" s="97">
        <f t="shared" si="39"/>
        <v>144</v>
      </c>
      <c r="M102" s="97" t="str">
        <f t="shared" si="40"/>
        <v>profit</v>
      </c>
      <c r="N102" s="100" t="b">
        <f t="shared" si="41"/>
        <v>0</v>
      </c>
      <c r="V102" s="99">
        <v>45620</v>
      </c>
      <c r="W102" s="97" t="s">
        <v>310</v>
      </c>
      <c r="X102" s="19" t="s">
        <v>139</v>
      </c>
      <c r="Y102" s="97" t="s">
        <v>154</v>
      </c>
      <c r="Z102" s="97" t="s">
        <v>142</v>
      </c>
      <c r="AA102" s="97" t="s">
        <v>123</v>
      </c>
      <c r="AB102" s="97">
        <v>26</v>
      </c>
      <c r="AC102" s="97">
        <v>997</v>
      </c>
      <c r="AD102" s="97">
        <v>982</v>
      </c>
      <c r="AE102" s="97">
        <f t="shared" si="44"/>
        <v>25922</v>
      </c>
      <c r="AF102" s="97">
        <f t="shared" si="49"/>
        <v>25532</v>
      </c>
      <c r="AG102" s="97">
        <f t="shared" si="45"/>
        <v>-390</v>
      </c>
      <c r="AH102" s="97" t="str">
        <f t="shared" si="46"/>
        <v>loss</v>
      </c>
      <c r="AI102" s="100" t="b">
        <f t="shared" si="47"/>
        <v>0</v>
      </c>
    </row>
    <row r="103" spans="1:35" x14ac:dyDescent="0.3">
      <c r="A103" s="99">
        <v>45567</v>
      </c>
      <c r="B103" s="97" t="s">
        <v>176</v>
      </c>
      <c r="C103" s="19" t="s">
        <v>109</v>
      </c>
      <c r="D103" s="97" t="s">
        <v>110</v>
      </c>
      <c r="E103" s="97" t="s">
        <v>151</v>
      </c>
      <c r="F103" s="97" t="s">
        <v>112</v>
      </c>
      <c r="G103" s="97">
        <v>10</v>
      </c>
      <c r="H103" s="97">
        <v>757</v>
      </c>
      <c r="I103" s="97">
        <v>885</v>
      </c>
      <c r="J103" s="97">
        <f t="shared" si="37"/>
        <v>7570</v>
      </c>
      <c r="K103" s="97">
        <f t="shared" si="38"/>
        <v>8850</v>
      </c>
      <c r="L103" s="97">
        <f t="shared" si="39"/>
        <v>1280</v>
      </c>
      <c r="M103" s="97" t="str">
        <f t="shared" si="40"/>
        <v>profit</v>
      </c>
      <c r="N103" s="100" t="b">
        <f t="shared" si="41"/>
        <v>0</v>
      </c>
      <c r="V103" s="99">
        <v>45622</v>
      </c>
      <c r="W103" s="97" t="s">
        <v>312</v>
      </c>
      <c r="X103" s="19" t="s">
        <v>139</v>
      </c>
      <c r="Y103" s="97" t="s">
        <v>154</v>
      </c>
      <c r="Z103" s="97" t="s">
        <v>145</v>
      </c>
      <c r="AA103" s="97" t="s">
        <v>112</v>
      </c>
      <c r="AB103" s="97">
        <v>21</v>
      </c>
      <c r="AC103" s="97">
        <v>978</v>
      </c>
      <c r="AD103" s="97">
        <v>1139</v>
      </c>
      <c r="AE103" s="97">
        <f t="shared" si="44"/>
        <v>20538</v>
      </c>
      <c r="AF103" s="97">
        <f t="shared" si="49"/>
        <v>23919</v>
      </c>
      <c r="AG103" s="97">
        <f t="shared" si="45"/>
        <v>3381</v>
      </c>
      <c r="AH103" s="97" t="str">
        <f t="shared" si="46"/>
        <v>profit</v>
      </c>
      <c r="AI103" s="100" t="b">
        <f t="shared" si="47"/>
        <v>1</v>
      </c>
    </row>
    <row r="104" spans="1:35" x14ac:dyDescent="0.3">
      <c r="A104" s="99">
        <v>45568</v>
      </c>
      <c r="B104" s="97" t="s">
        <v>177</v>
      </c>
      <c r="C104" s="19" t="s">
        <v>109</v>
      </c>
      <c r="D104" s="97" t="s">
        <v>110</v>
      </c>
      <c r="E104" s="97" t="s">
        <v>133</v>
      </c>
      <c r="F104" s="97" t="s">
        <v>112</v>
      </c>
      <c r="G104" s="97">
        <v>18</v>
      </c>
      <c r="H104" s="97">
        <v>668</v>
      </c>
      <c r="I104" s="97">
        <v>1366</v>
      </c>
      <c r="J104" s="97">
        <f t="shared" si="37"/>
        <v>12024</v>
      </c>
      <c r="K104" s="97">
        <f t="shared" si="38"/>
        <v>24588</v>
      </c>
      <c r="L104" s="97">
        <f t="shared" si="39"/>
        <v>12564</v>
      </c>
      <c r="M104" s="97" t="str">
        <f t="shared" si="40"/>
        <v>profit</v>
      </c>
      <c r="N104" s="100" t="b">
        <f t="shared" si="41"/>
        <v>0</v>
      </c>
      <c r="V104" s="99">
        <v>45623</v>
      </c>
      <c r="W104" s="97" t="s">
        <v>313</v>
      </c>
      <c r="X104" s="19" t="s">
        <v>139</v>
      </c>
      <c r="Y104" s="97" t="s">
        <v>154</v>
      </c>
      <c r="Z104" s="97" t="s">
        <v>146</v>
      </c>
      <c r="AA104" s="97" t="s">
        <v>112</v>
      </c>
      <c r="AB104" s="97">
        <v>24</v>
      </c>
      <c r="AC104" s="97">
        <v>830</v>
      </c>
      <c r="AD104" s="97">
        <v>1355</v>
      </c>
      <c r="AE104" s="97">
        <f t="shared" si="44"/>
        <v>19920</v>
      </c>
      <c r="AF104" s="97">
        <f t="shared" si="49"/>
        <v>32520</v>
      </c>
      <c r="AG104" s="97">
        <f t="shared" si="45"/>
        <v>12600</v>
      </c>
      <c r="AH104" s="97" t="str">
        <f t="shared" si="46"/>
        <v>profit</v>
      </c>
      <c r="AI104" s="100" t="b">
        <f t="shared" si="47"/>
        <v>0</v>
      </c>
    </row>
    <row r="105" spans="1:35" x14ac:dyDescent="0.3">
      <c r="A105" s="99">
        <v>45580</v>
      </c>
      <c r="B105" s="97" t="s">
        <v>178</v>
      </c>
      <c r="C105" s="19" t="s">
        <v>109</v>
      </c>
      <c r="D105" s="97" t="s">
        <v>131</v>
      </c>
      <c r="E105" s="97" t="s">
        <v>125</v>
      </c>
      <c r="F105" s="97" t="s">
        <v>123</v>
      </c>
      <c r="G105" s="97">
        <v>20</v>
      </c>
      <c r="H105" s="97">
        <v>882</v>
      </c>
      <c r="I105" s="97">
        <v>1193</v>
      </c>
      <c r="J105" s="97">
        <f t="shared" si="37"/>
        <v>17640</v>
      </c>
      <c r="K105" s="97">
        <f t="shared" si="38"/>
        <v>23860</v>
      </c>
      <c r="L105" s="97">
        <f t="shared" si="39"/>
        <v>6220</v>
      </c>
      <c r="M105" s="97" t="str">
        <f t="shared" si="40"/>
        <v>profit</v>
      </c>
      <c r="N105" s="100" t="b">
        <f t="shared" si="41"/>
        <v>0</v>
      </c>
      <c r="V105" s="99">
        <v>45624</v>
      </c>
      <c r="W105" s="97" t="s">
        <v>314</v>
      </c>
      <c r="X105" s="19" t="s">
        <v>139</v>
      </c>
      <c r="Y105" s="97" t="s">
        <v>205</v>
      </c>
      <c r="Z105" s="97" t="s">
        <v>129</v>
      </c>
      <c r="AA105" s="97" t="s">
        <v>112</v>
      </c>
      <c r="AB105" s="97">
        <v>21</v>
      </c>
      <c r="AC105" s="97">
        <v>751</v>
      </c>
      <c r="AD105" s="97">
        <v>1498</v>
      </c>
      <c r="AE105" s="97">
        <f t="shared" si="44"/>
        <v>15771</v>
      </c>
      <c r="AF105" s="97">
        <f t="shared" si="49"/>
        <v>31458</v>
      </c>
      <c r="AG105" s="97">
        <f t="shared" si="45"/>
        <v>15687</v>
      </c>
      <c r="AH105" s="97" t="str">
        <f t="shared" si="46"/>
        <v>profit</v>
      </c>
      <c r="AI105" s="100" t="b">
        <f t="shared" si="47"/>
        <v>0</v>
      </c>
    </row>
    <row r="106" spans="1:35" x14ac:dyDescent="0.3">
      <c r="A106" s="99">
        <v>45488</v>
      </c>
      <c r="B106" s="97" t="s">
        <v>204</v>
      </c>
      <c r="C106" s="19" t="s">
        <v>139</v>
      </c>
      <c r="D106" s="97" t="s">
        <v>205</v>
      </c>
      <c r="E106" s="97" t="s">
        <v>133</v>
      </c>
      <c r="F106" s="97" t="s">
        <v>112</v>
      </c>
      <c r="G106" s="97">
        <v>26</v>
      </c>
      <c r="H106" s="97">
        <v>627</v>
      </c>
      <c r="I106" s="97">
        <v>1416</v>
      </c>
      <c r="J106" s="97">
        <f t="shared" si="37"/>
        <v>16302</v>
      </c>
      <c r="K106" s="97">
        <f t="shared" si="38"/>
        <v>36816</v>
      </c>
      <c r="L106" s="97">
        <f t="shared" si="39"/>
        <v>20514</v>
      </c>
      <c r="M106" s="97" t="str">
        <f t="shared" si="40"/>
        <v>profit</v>
      </c>
      <c r="N106" s="100" t="b">
        <f t="shared" si="41"/>
        <v>0</v>
      </c>
      <c r="V106" s="99">
        <v>45671</v>
      </c>
      <c r="W106" s="97" t="s">
        <v>316</v>
      </c>
      <c r="X106" s="19" t="s">
        <v>127</v>
      </c>
      <c r="Y106" s="97" t="s">
        <v>207</v>
      </c>
      <c r="Z106" s="97" t="s">
        <v>151</v>
      </c>
      <c r="AA106" s="97" t="s">
        <v>123</v>
      </c>
      <c r="AB106" s="97">
        <v>56</v>
      </c>
      <c r="AC106" s="97">
        <v>685</v>
      </c>
      <c r="AD106" s="97">
        <v>771</v>
      </c>
      <c r="AE106" s="97">
        <f t="shared" si="44"/>
        <v>38360</v>
      </c>
      <c r="AF106" s="97">
        <f t="shared" si="49"/>
        <v>43176</v>
      </c>
      <c r="AG106" s="97">
        <f t="shared" si="45"/>
        <v>4816</v>
      </c>
      <c r="AH106" s="97" t="str">
        <f t="shared" si="46"/>
        <v>profit</v>
      </c>
      <c r="AI106" s="100" t="b">
        <f t="shared" si="47"/>
        <v>1</v>
      </c>
    </row>
    <row r="107" spans="1:35" x14ac:dyDescent="0.3">
      <c r="A107" s="99">
        <v>45581</v>
      </c>
      <c r="B107" s="97" t="s">
        <v>179</v>
      </c>
      <c r="C107" s="19" t="s">
        <v>109</v>
      </c>
      <c r="D107" s="97" t="s">
        <v>131</v>
      </c>
      <c r="E107" s="97" t="s">
        <v>120</v>
      </c>
      <c r="F107" s="97" t="s">
        <v>123</v>
      </c>
      <c r="G107" s="97">
        <v>17</v>
      </c>
      <c r="H107" s="97">
        <v>739</v>
      </c>
      <c r="I107" s="97">
        <v>826</v>
      </c>
      <c r="J107" s="97">
        <f t="shared" si="37"/>
        <v>12563</v>
      </c>
      <c r="K107" s="97">
        <f t="shared" si="38"/>
        <v>14042</v>
      </c>
      <c r="L107" s="97">
        <f t="shared" si="39"/>
        <v>1479</v>
      </c>
      <c r="M107" s="97" t="str">
        <f t="shared" si="40"/>
        <v>profit</v>
      </c>
      <c r="N107" s="100" t="b">
        <f t="shared" si="41"/>
        <v>0</v>
      </c>
      <c r="V107" s="99">
        <v>45627</v>
      </c>
      <c r="W107" s="97" t="s">
        <v>317</v>
      </c>
      <c r="X107" s="19" t="s">
        <v>139</v>
      </c>
      <c r="Y107" s="97" t="s">
        <v>205</v>
      </c>
      <c r="Z107" s="97" t="s">
        <v>155</v>
      </c>
      <c r="AA107" s="97" t="s">
        <v>112</v>
      </c>
      <c r="AB107" s="97">
        <v>21</v>
      </c>
      <c r="AC107" s="97">
        <v>605</v>
      </c>
      <c r="AD107" s="97">
        <v>1264</v>
      </c>
      <c r="AE107" s="97">
        <f t="shared" si="44"/>
        <v>12705</v>
      </c>
      <c r="AF107" s="97">
        <f t="shared" si="49"/>
        <v>26544</v>
      </c>
      <c r="AG107" s="97">
        <f t="shared" si="45"/>
        <v>13839</v>
      </c>
      <c r="AH107" s="97" t="str">
        <f t="shared" si="46"/>
        <v>profit</v>
      </c>
      <c r="AI107" s="100" t="b">
        <f t="shared" si="47"/>
        <v>0</v>
      </c>
    </row>
    <row r="108" spans="1:35" x14ac:dyDescent="0.3">
      <c r="A108" s="99">
        <v>45582</v>
      </c>
      <c r="B108" s="97" t="s">
        <v>180</v>
      </c>
      <c r="C108" s="19" t="s">
        <v>109</v>
      </c>
      <c r="D108" s="97" t="s">
        <v>131</v>
      </c>
      <c r="E108" s="97" t="s">
        <v>166</v>
      </c>
      <c r="F108" s="97" t="s">
        <v>123</v>
      </c>
      <c r="G108" s="97">
        <v>15</v>
      </c>
      <c r="H108" s="97">
        <v>563</v>
      </c>
      <c r="I108" s="97">
        <v>1069</v>
      </c>
      <c r="J108" s="97">
        <f t="shared" si="37"/>
        <v>8445</v>
      </c>
      <c r="K108" s="97">
        <f t="shared" si="38"/>
        <v>16035</v>
      </c>
      <c r="L108" s="97">
        <f t="shared" si="39"/>
        <v>7590</v>
      </c>
      <c r="M108" s="97" t="str">
        <f t="shared" si="40"/>
        <v>profit</v>
      </c>
      <c r="N108" s="100" t="b">
        <f t="shared" si="41"/>
        <v>0</v>
      </c>
      <c r="V108" s="99">
        <v>45628</v>
      </c>
      <c r="W108" s="97" t="s">
        <v>318</v>
      </c>
      <c r="X108" s="19" t="s">
        <v>139</v>
      </c>
      <c r="Y108" s="97" t="s">
        <v>205</v>
      </c>
      <c r="Z108" s="97" t="s">
        <v>155</v>
      </c>
      <c r="AA108" s="97" t="s">
        <v>112</v>
      </c>
      <c r="AB108" s="97">
        <v>20</v>
      </c>
      <c r="AC108" s="97">
        <v>666</v>
      </c>
      <c r="AD108" s="97">
        <v>1087</v>
      </c>
      <c r="AE108" s="97">
        <f t="shared" si="44"/>
        <v>13320</v>
      </c>
      <c r="AF108" s="97">
        <f t="shared" si="49"/>
        <v>21740</v>
      </c>
      <c r="AG108" s="97">
        <f t="shared" si="45"/>
        <v>8420</v>
      </c>
      <c r="AH108" s="97" t="str">
        <f t="shared" si="46"/>
        <v>profit</v>
      </c>
      <c r="AI108" s="100" t="b">
        <f t="shared" si="47"/>
        <v>0</v>
      </c>
    </row>
    <row r="109" spans="1:35" x14ac:dyDescent="0.3">
      <c r="A109" s="99">
        <v>45584</v>
      </c>
      <c r="B109" s="97" t="s">
        <v>181</v>
      </c>
      <c r="C109" s="19" t="s">
        <v>109</v>
      </c>
      <c r="D109" s="97" t="s">
        <v>131</v>
      </c>
      <c r="E109" s="97" t="s">
        <v>129</v>
      </c>
      <c r="F109" s="97" t="s">
        <v>112</v>
      </c>
      <c r="G109" s="97">
        <v>15</v>
      </c>
      <c r="H109" s="97">
        <v>662</v>
      </c>
      <c r="I109" s="97">
        <v>1183</v>
      </c>
      <c r="J109" s="97">
        <f t="shared" si="37"/>
        <v>9930</v>
      </c>
      <c r="K109" s="97">
        <f t="shared" si="38"/>
        <v>17745</v>
      </c>
      <c r="L109" s="97">
        <f t="shared" si="39"/>
        <v>7815</v>
      </c>
      <c r="M109" s="97" t="str">
        <f t="shared" si="40"/>
        <v>profit</v>
      </c>
      <c r="N109" s="100" t="b">
        <f t="shared" si="41"/>
        <v>0</v>
      </c>
      <c r="V109" s="99">
        <v>45630</v>
      </c>
      <c r="W109" s="97" t="s">
        <v>319</v>
      </c>
      <c r="X109" s="19" t="s">
        <v>139</v>
      </c>
      <c r="Y109" s="97" t="s">
        <v>205</v>
      </c>
      <c r="Z109" s="97" t="s">
        <v>133</v>
      </c>
      <c r="AA109" s="97" t="s">
        <v>123</v>
      </c>
      <c r="AB109" s="97">
        <v>23</v>
      </c>
      <c r="AC109" s="97">
        <v>632</v>
      </c>
      <c r="AD109" s="97">
        <v>762</v>
      </c>
      <c r="AE109" s="97">
        <f t="shared" si="44"/>
        <v>14536</v>
      </c>
      <c r="AF109" s="97">
        <f t="shared" si="49"/>
        <v>17526</v>
      </c>
      <c r="AG109" s="97">
        <f t="shared" si="45"/>
        <v>2990</v>
      </c>
      <c r="AH109" s="97" t="str">
        <f t="shared" si="46"/>
        <v>profit</v>
      </c>
      <c r="AI109" s="100" t="b">
        <f t="shared" si="47"/>
        <v>0</v>
      </c>
    </row>
    <row r="110" spans="1:35" x14ac:dyDescent="0.3">
      <c r="A110" s="99">
        <v>45585</v>
      </c>
      <c r="B110" s="97" t="s">
        <v>182</v>
      </c>
      <c r="C110" s="19" t="s">
        <v>109</v>
      </c>
      <c r="D110" s="97" t="s">
        <v>131</v>
      </c>
      <c r="E110" s="97" t="s">
        <v>133</v>
      </c>
      <c r="F110" s="97" t="s">
        <v>112</v>
      </c>
      <c r="G110" s="97">
        <v>16</v>
      </c>
      <c r="H110" s="97">
        <v>846</v>
      </c>
      <c r="I110" s="97">
        <v>1375</v>
      </c>
      <c r="J110" s="97">
        <f t="shared" si="37"/>
        <v>13536</v>
      </c>
      <c r="K110" s="97">
        <f t="shared" si="38"/>
        <v>22000</v>
      </c>
      <c r="L110" s="97">
        <f t="shared" si="39"/>
        <v>8464</v>
      </c>
      <c r="M110" s="97" t="str">
        <f t="shared" si="40"/>
        <v>profit</v>
      </c>
      <c r="N110" s="100" t="b">
        <f t="shared" si="41"/>
        <v>0</v>
      </c>
      <c r="V110" s="99">
        <v>45632</v>
      </c>
      <c r="W110" s="97" t="s">
        <v>321</v>
      </c>
      <c r="X110" s="19" t="s">
        <v>139</v>
      </c>
      <c r="Y110" s="97" t="s">
        <v>205</v>
      </c>
      <c r="Z110" s="97" t="s">
        <v>200</v>
      </c>
      <c r="AA110" s="97" t="s">
        <v>123</v>
      </c>
      <c r="AB110" s="97">
        <v>30</v>
      </c>
      <c r="AC110" s="97">
        <v>557</v>
      </c>
      <c r="AD110" s="97">
        <v>886</v>
      </c>
      <c r="AE110" s="97">
        <f t="shared" si="44"/>
        <v>16710</v>
      </c>
      <c r="AF110" s="97" t="s">
        <v>340</v>
      </c>
      <c r="AG110" s="97" t="e">
        <f t="shared" si="45"/>
        <v>#VALUE!</v>
      </c>
      <c r="AH110" s="97" t="e">
        <f t="shared" si="46"/>
        <v>#VALUE!</v>
      </c>
      <c r="AI110" s="100" t="e">
        <f t="shared" si="47"/>
        <v>#VALUE!</v>
      </c>
    </row>
    <row r="111" spans="1:35" x14ac:dyDescent="0.3">
      <c r="A111" s="99">
        <v>45587</v>
      </c>
      <c r="B111" s="97" t="s">
        <v>183</v>
      </c>
      <c r="C111" s="19" t="s">
        <v>109</v>
      </c>
      <c r="D111" s="97" t="s">
        <v>131</v>
      </c>
      <c r="E111" s="97" t="s">
        <v>155</v>
      </c>
      <c r="F111" s="97" t="s">
        <v>112</v>
      </c>
      <c r="G111" s="97">
        <v>14</v>
      </c>
      <c r="H111" s="97">
        <v>777</v>
      </c>
      <c r="I111" s="97">
        <v>1192</v>
      </c>
      <c r="J111" s="97">
        <f t="shared" si="37"/>
        <v>10878</v>
      </c>
      <c r="K111" s="97">
        <f t="shared" si="38"/>
        <v>16688</v>
      </c>
      <c r="L111" s="97">
        <f t="shared" si="39"/>
        <v>5810</v>
      </c>
      <c r="M111" s="97" t="str">
        <f t="shared" si="40"/>
        <v>profit</v>
      </c>
      <c r="N111" s="100" t="b">
        <f t="shared" si="41"/>
        <v>0</v>
      </c>
      <c r="V111" s="99">
        <v>45677</v>
      </c>
      <c r="W111" s="97" t="s">
        <v>216</v>
      </c>
      <c r="X111" s="19" t="s">
        <v>109</v>
      </c>
      <c r="Y111" s="97" t="s">
        <v>131</v>
      </c>
      <c r="Z111" s="97" t="s">
        <v>242</v>
      </c>
      <c r="AA111" s="97" t="s">
        <v>112</v>
      </c>
      <c r="AB111" s="97">
        <v>20</v>
      </c>
      <c r="AC111" s="97">
        <v>803</v>
      </c>
      <c r="AD111" s="97">
        <v>941</v>
      </c>
      <c r="AE111" s="97">
        <f t="shared" si="44"/>
        <v>16060</v>
      </c>
      <c r="AF111" s="97">
        <f t="shared" ref="AF111:AF130" si="50">AB111*AD111</f>
        <v>18820</v>
      </c>
      <c r="AG111" s="97">
        <f t="shared" si="45"/>
        <v>2760</v>
      </c>
      <c r="AH111" s="97" t="str">
        <f t="shared" si="46"/>
        <v>profit</v>
      </c>
      <c r="AI111" s="100" t="b">
        <f t="shared" si="47"/>
        <v>0</v>
      </c>
    </row>
    <row r="112" spans="1:35" x14ac:dyDescent="0.3">
      <c r="A112" s="99">
        <v>45659</v>
      </c>
      <c r="B112" s="97" t="s">
        <v>184</v>
      </c>
      <c r="C112" s="19" t="s">
        <v>109</v>
      </c>
      <c r="D112" s="97" t="s">
        <v>110</v>
      </c>
      <c r="E112" s="97" t="s">
        <v>120</v>
      </c>
      <c r="F112" s="97" t="s">
        <v>112</v>
      </c>
      <c r="G112" s="97">
        <v>16</v>
      </c>
      <c r="H112" s="97">
        <v>632</v>
      </c>
      <c r="I112" s="97">
        <v>835</v>
      </c>
      <c r="J112" s="97">
        <f t="shared" si="37"/>
        <v>10112</v>
      </c>
      <c r="K112" s="97">
        <f t="shared" si="38"/>
        <v>13360</v>
      </c>
      <c r="L112" s="97">
        <f t="shared" si="39"/>
        <v>3248</v>
      </c>
      <c r="M112" s="97" t="str">
        <f t="shared" si="40"/>
        <v>profit</v>
      </c>
      <c r="N112" s="100" t="b">
        <f t="shared" si="41"/>
        <v>0</v>
      </c>
      <c r="V112" s="99">
        <v>45633</v>
      </c>
      <c r="W112" s="97" t="s">
        <v>322</v>
      </c>
      <c r="X112" s="19" t="s">
        <v>139</v>
      </c>
      <c r="Y112" s="97" t="s">
        <v>205</v>
      </c>
      <c r="Z112" s="97" t="s">
        <v>137</v>
      </c>
      <c r="AA112" s="97" t="s">
        <v>112</v>
      </c>
      <c r="AB112" s="97">
        <v>24</v>
      </c>
      <c r="AC112" s="97">
        <v>651</v>
      </c>
      <c r="AD112" s="97">
        <v>1386</v>
      </c>
      <c r="AE112" s="97">
        <f t="shared" si="44"/>
        <v>15624</v>
      </c>
      <c r="AF112" s="97">
        <f t="shared" si="50"/>
        <v>33264</v>
      </c>
      <c r="AG112" s="97">
        <f t="shared" si="45"/>
        <v>17640</v>
      </c>
      <c r="AH112" s="97" t="str">
        <f t="shared" si="46"/>
        <v>profit</v>
      </c>
      <c r="AI112" s="100" t="b">
        <f t="shared" si="47"/>
        <v>0</v>
      </c>
    </row>
    <row r="113" spans="1:35" x14ac:dyDescent="0.3">
      <c r="A113" s="99">
        <v>45661</v>
      </c>
      <c r="B113" s="97" t="s">
        <v>187</v>
      </c>
      <c r="C113" s="19" t="s">
        <v>109</v>
      </c>
      <c r="D113" s="97" t="s">
        <v>110</v>
      </c>
      <c r="E113" s="97" t="s">
        <v>161</v>
      </c>
      <c r="F113" s="97" t="s">
        <v>112</v>
      </c>
      <c r="G113" s="97">
        <v>11</v>
      </c>
      <c r="H113" s="97">
        <v>731</v>
      </c>
      <c r="I113" s="97">
        <v>1311</v>
      </c>
      <c r="J113" s="97">
        <f t="shared" si="37"/>
        <v>8041</v>
      </c>
      <c r="K113" s="97">
        <f t="shared" si="38"/>
        <v>14421</v>
      </c>
      <c r="L113" s="97">
        <f t="shared" si="39"/>
        <v>6380</v>
      </c>
      <c r="M113" s="97" t="str">
        <f t="shared" si="40"/>
        <v>profit</v>
      </c>
      <c r="N113" s="100" t="b">
        <f t="shared" si="41"/>
        <v>0</v>
      </c>
      <c r="V113" s="99">
        <v>45635</v>
      </c>
      <c r="W113" s="97" t="s">
        <v>323</v>
      </c>
      <c r="X113" s="19" t="s">
        <v>139</v>
      </c>
      <c r="Y113" s="97" t="s">
        <v>205</v>
      </c>
      <c r="Z113" s="97" t="s">
        <v>242</v>
      </c>
      <c r="AA113" s="97" t="s">
        <v>123</v>
      </c>
      <c r="AB113" s="97">
        <v>20</v>
      </c>
      <c r="AC113" s="97">
        <v>565</v>
      </c>
      <c r="AD113" s="97">
        <v>943</v>
      </c>
      <c r="AE113" s="97">
        <f t="shared" si="44"/>
        <v>11300</v>
      </c>
      <c r="AF113" s="97">
        <f t="shared" si="50"/>
        <v>18860</v>
      </c>
      <c r="AG113" s="97">
        <f t="shared" si="45"/>
        <v>7560</v>
      </c>
      <c r="AH113" s="97" t="str">
        <f t="shared" si="46"/>
        <v>profit</v>
      </c>
      <c r="AI113" s="100" t="b">
        <f t="shared" si="47"/>
        <v>0</v>
      </c>
    </row>
    <row r="114" spans="1:35" x14ac:dyDescent="0.3">
      <c r="A114" s="99">
        <v>45663</v>
      </c>
      <c r="B114" s="97" t="s">
        <v>188</v>
      </c>
      <c r="C114" s="19" t="s">
        <v>109</v>
      </c>
      <c r="D114" s="97" t="s">
        <v>110</v>
      </c>
      <c r="E114" s="97" t="s">
        <v>115</v>
      </c>
      <c r="F114" s="97" t="s">
        <v>112</v>
      </c>
      <c r="G114" s="97">
        <v>10</v>
      </c>
      <c r="H114" s="97">
        <v>774</v>
      </c>
      <c r="I114" s="97">
        <v>1472</v>
      </c>
      <c r="J114" s="97">
        <f t="shared" si="37"/>
        <v>7740</v>
      </c>
      <c r="K114" s="97">
        <f t="shared" si="38"/>
        <v>14720</v>
      </c>
      <c r="L114" s="97">
        <f t="shared" si="39"/>
        <v>6980</v>
      </c>
      <c r="M114" s="97" t="str">
        <f t="shared" si="40"/>
        <v>profit</v>
      </c>
      <c r="N114" s="100" t="b">
        <f t="shared" si="41"/>
        <v>0</v>
      </c>
      <c r="V114" s="99">
        <v>45689</v>
      </c>
      <c r="W114" s="97" t="s">
        <v>324</v>
      </c>
      <c r="X114" s="19" t="s">
        <v>139</v>
      </c>
      <c r="Y114" s="97" t="s">
        <v>205</v>
      </c>
      <c r="Z114" s="97" t="s">
        <v>137</v>
      </c>
      <c r="AA114" s="97" t="s">
        <v>112</v>
      </c>
      <c r="AB114" s="97">
        <v>22</v>
      </c>
      <c r="AC114" s="97">
        <v>810</v>
      </c>
      <c r="AD114" s="97">
        <v>1201</v>
      </c>
      <c r="AE114" s="97">
        <f t="shared" si="44"/>
        <v>17820</v>
      </c>
      <c r="AF114" s="97">
        <f t="shared" si="50"/>
        <v>26422</v>
      </c>
      <c r="AG114" s="97">
        <f t="shared" si="45"/>
        <v>8602</v>
      </c>
      <c r="AH114" s="97" t="str">
        <f t="shared" si="46"/>
        <v>profit</v>
      </c>
      <c r="AI114" s="100" t="b">
        <f t="shared" si="47"/>
        <v>0</v>
      </c>
    </row>
    <row r="115" spans="1:35" x14ac:dyDescent="0.3">
      <c r="A115" s="99">
        <v>45665</v>
      </c>
      <c r="B115" s="97" t="s">
        <v>189</v>
      </c>
      <c r="C115" s="19" t="s">
        <v>109</v>
      </c>
      <c r="D115" s="97" t="s">
        <v>110</v>
      </c>
      <c r="E115" s="97" t="s">
        <v>120</v>
      </c>
      <c r="F115" s="97" t="s">
        <v>123</v>
      </c>
      <c r="G115" s="97">
        <v>11</v>
      </c>
      <c r="H115" s="97">
        <v>986</v>
      </c>
      <c r="I115" s="97">
        <v>1228</v>
      </c>
      <c r="J115" s="97">
        <f t="shared" si="37"/>
        <v>10846</v>
      </c>
      <c r="K115" s="97">
        <f t="shared" si="38"/>
        <v>13508</v>
      </c>
      <c r="L115" s="97">
        <f t="shared" si="39"/>
        <v>2662</v>
      </c>
      <c r="M115" s="97" t="str">
        <f t="shared" si="40"/>
        <v>profit</v>
      </c>
      <c r="N115" s="100" t="b">
        <f t="shared" si="41"/>
        <v>0</v>
      </c>
      <c r="V115" s="99">
        <v>45690</v>
      </c>
      <c r="W115" s="97" t="s">
        <v>325</v>
      </c>
      <c r="X115" s="19" t="s">
        <v>139</v>
      </c>
      <c r="Y115" s="97" t="s">
        <v>205</v>
      </c>
      <c r="Z115" s="97" t="s">
        <v>240</v>
      </c>
      <c r="AA115" s="97" t="s">
        <v>112</v>
      </c>
      <c r="AB115" s="97">
        <v>23</v>
      </c>
      <c r="AC115" s="97">
        <v>827</v>
      </c>
      <c r="AD115" s="97">
        <v>1185</v>
      </c>
      <c r="AE115" s="97">
        <f t="shared" si="44"/>
        <v>19021</v>
      </c>
      <c r="AF115" s="97">
        <f t="shared" si="50"/>
        <v>27255</v>
      </c>
      <c r="AG115" s="97">
        <f t="shared" si="45"/>
        <v>8234</v>
      </c>
      <c r="AH115" s="97" t="str">
        <f t="shared" si="46"/>
        <v>profit</v>
      </c>
      <c r="AI115" s="100" t="b">
        <f t="shared" si="47"/>
        <v>0</v>
      </c>
    </row>
    <row r="116" spans="1:35" x14ac:dyDescent="0.3">
      <c r="A116" s="99">
        <v>45678</v>
      </c>
      <c r="B116" s="97" t="s">
        <v>190</v>
      </c>
      <c r="C116" s="19" t="s">
        <v>109</v>
      </c>
      <c r="D116" s="97" t="s">
        <v>131</v>
      </c>
      <c r="E116" s="97" t="s">
        <v>111</v>
      </c>
      <c r="F116" s="97" t="s">
        <v>112</v>
      </c>
      <c r="G116" s="97">
        <v>11</v>
      </c>
      <c r="H116" s="97">
        <v>519</v>
      </c>
      <c r="I116" s="97">
        <v>1143</v>
      </c>
      <c r="J116" s="97">
        <f t="shared" si="37"/>
        <v>5709</v>
      </c>
      <c r="K116" s="97">
        <f t="shared" si="38"/>
        <v>12573</v>
      </c>
      <c r="L116" s="97">
        <f t="shared" si="39"/>
        <v>6864</v>
      </c>
      <c r="M116" s="97" t="str">
        <f t="shared" si="40"/>
        <v>profit</v>
      </c>
      <c r="N116" s="100" t="b">
        <f t="shared" si="41"/>
        <v>0</v>
      </c>
      <c r="V116" s="99">
        <v>45691</v>
      </c>
      <c r="W116" s="97" t="s">
        <v>326</v>
      </c>
      <c r="X116" s="19" t="s">
        <v>139</v>
      </c>
      <c r="Y116" s="97" t="s">
        <v>205</v>
      </c>
      <c r="Z116" s="97" t="s">
        <v>242</v>
      </c>
      <c r="AA116" s="97" t="s">
        <v>112</v>
      </c>
      <c r="AB116" s="97">
        <v>23</v>
      </c>
      <c r="AC116" s="97">
        <v>570</v>
      </c>
      <c r="AD116" s="97">
        <v>1230</v>
      </c>
      <c r="AE116" s="97">
        <f t="shared" si="44"/>
        <v>13110</v>
      </c>
      <c r="AF116" s="97">
        <f t="shared" si="50"/>
        <v>28290</v>
      </c>
      <c r="AG116" s="97">
        <f t="shared" si="45"/>
        <v>15180</v>
      </c>
      <c r="AH116" s="97" t="str">
        <f t="shared" si="46"/>
        <v>profit</v>
      </c>
      <c r="AI116" s="100" t="b">
        <f t="shared" si="47"/>
        <v>0</v>
      </c>
    </row>
    <row r="117" spans="1:35" x14ac:dyDescent="0.3">
      <c r="A117" s="99">
        <v>45679</v>
      </c>
      <c r="B117" s="97" t="s">
        <v>191</v>
      </c>
      <c r="C117" s="19" t="s">
        <v>109</v>
      </c>
      <c r="D117" s="97" t="s">
        <v>131</v>
      </c>
      <c r="E117" s="97" t="s">
        <v>115</v>
      </c>
      <c r="F117" s="97" t="s">
        <v>112</v>
      </c>
      <c r="G117" s="97">
        <v>20</v>
      </c>
      <c r="H117" s="97">
        <v>597</v>
      </c>
      <c r="I117" s="97">
        <v>1175</v>
      </c>
      <c r="J117" s="97">
        <f t="shared" si="37"/>
        <v>11940</v>
      </c>
      <c r="K117" s="97">
        <f t="shared" si="38"/>
        <v>23500</v>
      </c>
      <c r="L117" s="97">
        <f t="shared" si="39"/>
        <v>11560</v>
      </c>
      <c r="M117" s="97" t="str">
        <f t="shared" si="40"/>
        <v>profit</v>
      </c>
      <c r="N117" s="100" t="b">
        <f t="shared" si="41"/>
        <v>0</v>
      </c>
      <c r="V117" s="99">
        <v>45683</v>
      </c>
      <c r="W117" s="97" t="s">
        <v>327</v>
      </c>
      <c r="X117" s="19" t="s">
        <v>109</v>
      </c>
      <c r="Y117" s="97" t="s">
        <v>131</v>
      </c>
      <c r="Z117" s="97" t="s">
        <v>122</v>
      </c>
      <c r="AA117" s="97" t="s">
        <v>112</v>
      </c>
      <c r="AB117" s="97">
        <v>19</v>
      </c>
      <c r="AC117" s="97">
        <v>911</v>
      </c>
      <c r="AD117" s="97">
        <v>1116</v>
      </c>
      <c r="AE117" s="97">
        <f t="shared" si="44"/>
        <v>17309</v>
      </c>
      <c r="AF117" s="97">
        <f t="shared" si="50"/>
        <v>21204</v>
      </c>
      <c r="AG117" s="97">
        <f t="shared" si="45"/>
        <v>3895</v>
      </c>
      <c r="AH117" s="97" t="str">
        <f t="shared" si="46"/>
        <v>profit</v>
      </c>
      <c r="AI117" s="100" t="b">
        <f t="shared" si="47"/>
        <v>0</v>
      </c>
    </row>
    <row r="118" spans="1:35" x14ac:dyDescent="0.3">
      <c r="A118" s="99">
        <v>45680</v>
      </c>
      <c r="B118" s="97" t="s">
        <v>192</v>
      </c>
      <c r="C118" s="19" t="s">
        <v>109</v>
      </c>
      <c r="D118" s="97" t="s">
        <v>131</v>
      </c>
      <c r="E118" s="97" t="s">
        <v>118</v>
      </c>
      <c r="F118" s="97" t="s">
        <v>112</v>
      </c>
      <c r="G118" s="97">
        <v>18</v>
      </c>
      <c r="H118" s="97">
        <v>632</v>
      </c>
      <c r="I118" s="97">
        <v>1384</v>
      </c>
      <c r="J118" s="97">
        <f t="shared" si="37"/>
        <v>11376</v>
      </c>
      <c r="K118" s="97">
        <f t="shared" si="38"/>
        <v>24912</v>
      </c>
      <c r="L118" s="97">
        <f t="shared" si="39"/>
        <v>13536</v>
      </c>
      <c r="M118" s="97" t="str">
        <f t="shared" si="40"/>
        <v>profit</v>
      </c>
      <c r="N118" s="100" t="b">
        <f t="shared" si="41"/>
        <v>0</v>
      </c>
      <c r="V118" s="99">
        <v>45692</v>
      </c>
      <c r="W118" s="97" t="s">
        <v>328</v>
      </c>
      <c r="X118" s="19" t="s">
        <v>139</v>
      </c>
      <c r="Y118" s="97" t="s">
        <v>205</v>
      </c>
      <c r="Z118" s="97" t="s">
        <v>111</v>
      </c>
      <c r="AA118" s="97" t="s">
        <v>123</v>
      </c>
      <c r="AB118" s="97">
        <v>21</v>
      </c>
      <c r="AC118" s="97">
        <v>938</v>
      </c>
      <c r="AD118" s="97">
        <v>1275</v>
      </c>
      <c r="AE118" s="97">
        <f t="shared" si="44"/>
        <v>19698</v>
      </c>
      <c r="AF118" s="97">
        <f t="shared" si="50"/>
        <v>26775</v>
      </c>
      <c r="AG118" s="97">
        <f t="shared" si="45"/>
        <v>7077</v>
      </c>
      <c r="AH118" s="97" t="str">
        <f t="shared" si="46"/>
        <v>profit</v>
      </c>
      <c r="AI118" s="100" t="b">
        <f t="shared" si="47"/>
        <v>0</v>
      </c>
    </row>
    <row r="119" spans="1:35" x14ac:dyDescent="0.3">
      <c r="A119" s="99">
        <v>45681</v>
      </c>
      <c r="B119" s="97" t="s">
        <v>193</v>
      </c>
      <c r="C119" s="19" t="s">
        <v>109</v>
      </c>
      <c r="D119" s="97" t="s">
        <v>131</v>
      </c>
      <c r="E119" s="97" t="s">
        <v>120</v>
      </c>
      <c r="F119" s="97" t="s">
        <v>112</v>
      </c>
      <c r="G119" s="97">
        <v>17</v>
      </c>
      <c r="H119" s="97">
        <v>649</v>
      </c>
      <c r="I119" s="97">
        <v>1392</v>
      </c>
      <c r="J119" s="97">
        <f t="shared" si="37"/>
        <v>11033</v>
      </c>
      <c r="K119" s="97">
        <f t="shared" si="38"/>
        <v>23664</v>
      </c>
      <c r="L119" s="97">
        <f t="shared" si="39"/>
        <v>12631</v>
      </c>
      <c r="M119" s="97" t="str">
        <f t="shared" si="40"/>
        <v>profit</v>
      </c>
      <c r="N119" s="100" t="b">
        <f t="shared" si="41"/>
        <v>0</v>
      </c>
      <c r="V119" s="99">
        <v>45693</v>
      </c>
      <c r="W119" s="97" t="s">
        <v>329</v>
      </c>
      <c r="X119" s="19" t="s">
        <v>139</v>
      </c>
      <c r="Y119" s="97" t="s">
        <v>205</v>
      </c>
      <c r="Z119" s="97" t="s">
        <v>115</v>
      </c>
      <c r="AA119" s="97" t="s">
        <v>123</v>
      </c>
      <c r="AB119" s="97">
        <v>24</v>
      </c>
      <c r="AC119" s="97">
        <v>993</v>
      </c>
      <c r="AD119" s="97">
        <v>987</v>
      </c>
      <c r="AE119" s="97">
        <f t="shared" si="44"/>
        <v>23832</v>
      </c>
      <c r="AF119" s="97">
        <f t="shared" si="50"/>
        <v>23688</v>
      </c>
      <c r="AG119" s="97">
        <f t="shared" si="45"/>
        <v>-144</v>
      </c>
      <c r="AH119" s="97" t="str">
        <f t="shared" si="46"/>
        <v>loss</v>
      </c>
      <c r="AI119" s="100" t="b">
        <f t="shared" si="47"/>
        <v>0</v>
      </c>
    </row>
    <row r="120" spans="1:35" x14ac:dyDescent="0.3">
      <c r="A120" s="99">
        <v>45682</v>
      </c>
      <c r="B120" s="97" t="s">
        <v>194</v>
      </c>
      <c r="C120" s="19" t="s">
        <v>109</v>
      </c>
      <c r="D120" s="97" t="s">
        <v>131</v>
      </c>
      <c r="E120" s="97" t="s">
        <v>120</v>
      </c>
      <c r="F120" s="97" t="s">
        <v>112</v>
      </c>
      <c r="G120" s="97">
        <v>18</v>
      </c>
      <c r="H120" s="97">
        <v>587</v>
      </c>
      <c r="I120" s="97">
        <v>905</v>
      </c>
      <c r="J120" s="97">
        <f t="shared" si="37"/>
        <v>10566</v>
      </c>
      <c r="K120" s="97">
        <f t="shared" si="38"/>
        <v>16290</v>
      </c>
      <c r="L120" s="97">
        <f t="shared" si="39"/>
        <v>5724</v>
      </c>
      <c r="M120" s="97" t="str">
        <f t="shared" si="40"/>
        <v>profit</v>
      </c>
      <c r="N120" s="100" t="b">
        <f t="shared" si="41"/>
        <v>0</v>
      </c>
      <c r="V120" s="99">
        <v>45694</v>
      </c>
      <c r="W120" s="97" t="s">
        <v>330</v>
      </c>
      <c r="X120" s="19" t="s">
        <v>139</v>
      </c>
      <c r="Y120" s="97" t="s">
        <v>205</v>
      </c>
      <c r="Z120" s="97" t="s">
        <v>118</v>
      </c>
      <c r="AA120" s="97" t="s">
        <v>123</v>
      </c>
      <c r="AB120" s="97">
        <v>20</v>
      </c>
      <c r="AC120" s="97">
        <v>534</v>
      </c>
      <c r="AD120" s="97">
        <v>1233</v>
      </c>
      <c r="AE120" s="97">
        <f t="shared" si="44"/>
        <v>10680</v>
      </c>
      <c r="AF120" s="97">
        <f t="shared" si="50"/>
        <v>24660</v>
      </c>
      <c r="AG120" s="97">
        <f t="shared" si="45"/>
        <v>13980</v>
      </c>
      <c r="AH120" s="97" t="str">
        <f t="shared" si="46"/>
        <v>profit</v>
      </c>
      <c r="AI120" s="100" t="b">
        <f t="shared" si="47"/>
        <v>0</v>
      </c>
    </row>
    <row r="121" spans="1:35" x14ac:dyDescent="0.3">
      <c r="A121" s="99">
        <v>45684</v>
      </c>
      <c r="B121" s="97" t="s">
        <v>196</v>
      </c>
      <c r="C121" s="19" t="s">
        <v>109</v>
      </c>
      <c r="D121" s="97" t="s">
        <v>131</v>
      </c>
      <c r="E121" s="97" t="s">
        <v>125</v>
      </c>
      <c r="F121" s="97" t="s">
        <v>123</v>
      </c>
      <c r="G121" s="97">
        <v>19</v>
      </c>
      <c r="H121" s="97">
        <v>701</v>
      </c>
      <c r="I121" s="97">
        <v>1136</v>
      </c>
      <c r="J121" s="97">
        <f t="shared" si="37"/>
        <v>13319</v>
      </c>
      <c r="K121" s="97">
        <f t="shared" si="38"/>
        <v>21584</v>
      </c>
      <c r="L121" s="97">
        <f t="shared" si="39"/>
        <v>8265</v>
      </c>
      <c r="M121" s="97" t="str">
        <f t="shared" si="40"/>
        <v>profit</v>
      </c>
      <c r="N121" s="100" t="b">
        <f t="shared" si="41"/>
        <v>0</v>
      </c>
      <c r="V121" s="99">
        <v>45687</v>
      </c>
      <c r="W121" s="97" t="s">
        <v>331</v>
      </c>
      <c r="X121" s="19" t="s">
        <v>109</v>
      </c>
      <c r="Y121" s="97" t="s">
        <v>131</v>
      </c>
      <c r="Z121" s="97" t="s">
        <v>125</v>
      </c>
      <c r="AA121" s="97" t="s">
        <v>123</v>
      </c>
      <c r="AB121" s="97">
        <v>10</v>
      </c>
      <c r="AC121" s="97">
        <v>911</v>
      </c>
      <c r="AD121" s="97">
        <v>1097</v>
      </c>
      <c r="AE121" s="97">
        <f t="shared" si="44"/>
        <v>9110</v>
      </c>
      <c r="AF121" s="97">
        <f t="shared" si="50"/>
        <v>10970</v>
      </c>
      <c r="AG121" s="97">
        <f t="shared" si="45"/>
        <v>1860</v>
      </c>
      <c r="AH121" s="97" t="str">
        <f t="shared" si="46"/>
        <v>profit</v>
      </c>
      <c r="AI121" s="100" t="b">
        <f t="shared" si="47"/>
        <v>0</v>
      </c>
    </row>
    <row r="122" spans="1:35" x14ac:dyDescent="0.3">
      <c r="A122" s="99">
        <v>45685</v>
      </c>
      <c r="B122" s="97" t="s">
        <v>197</v>
      </c>
      <c r="C122" s="19" t="s">
        <v>109</v>
      </c>
      <c r="D122" s="97" t="s">
        <v>131</v>
      </c>
      <c r="E122" s="97" t="s">
        <v>120</v>
      </c>
      <c r="F122" s="97" t="s">
        <v>123</v>
      </c>
      <c r="G122" s="97">
        <v>19</v>
      </c>
      <c r="H122" s="97">
        <v>972</v>
      </c>
      <c r="I122" s="97">
        <v>1314</v>
      </c>
      <c r="J122" s="97">
        <f t="shared" si="37"/>
        <v>18468</v>
      </c>
      <c r="K122" s="97">
        <f t="shared" si="38"/>
        <v>24966</v>
      </c>
      <c r="L122" s="97">
        <f t="shared" si="39"/>
        <v>6498</v>
      </c>
      <c r="M122" s="97" t="str">
        <f t="shared" si="40"/>
        <v>profit</v>
      </c>
      <c r="N122" s="100" t="b">
        <f t="shared" si="41"/>
        <v>0</v>
      </c>
      <c r="V122" s="99">
        <v>45695</v>
      </c>
      <c r="W122" s="97" t="s">
        <v>332</v>
      </c>
      <c r="X122" s="19" t="s">
        <v>139</v>
      </c>
      <c r="Y122" s="97" t="s">
        <v>205</v>
      </c>
      <c r="Z122" s="97" t="s">
        <v>120</v>
      </c>
      <c r="AA122" s="97" t="s">
        <v>123</v>
      </c>
      <c r="AB122" s="97">
        <v>23</v>
      </c>
      <c r="AC122" s="97">
        <v>761</v>
      </c>
      <c r="AD122" s="97">
        <v>901</v>
      </c>
      <c r="AE122" s="97">
        <f t="shared" si="44"/>
        <v>17503</v>
      </c>
      <c r="AF122" s="97">
        <f t="shared" si="50"/>
        <v>20723</v>
      </c>
      <c r="AG122" s="97">
        <f t="shared" si="45"/>
        <v>3220</v>
      </c>
      <c r="AH122" s="97" t="str">
        <f t="shared" si="46"/>
        <v>profit</v>
      </c>
      <c r="AI122" s="100" t="b">
        <f t="shared" si="47"/>
        <v>0</v>
      </c>
    </row>
    <row r="123" spans="1:35" x14ac:dyDescent="0.3">
      <c r="A123" s="99">
        <v>45686</v>
      </c>
      <c r="B123" s="97" t="s">
        <v>198</v>
      </c>
      <c r="C123" s="19" t="s">
        <v>109</v>
      </c>
      <c r="D123" s="97" t="s">
        <v>131</v>
      </c>
      <c r="E123" s="97" t="s">
        <v>133</v>
      </c>
      <c r="F123" s="97" t="s">
        <v>123</v>
      </c>
      <c r="G123" s="97">
        <v>13</v>
      </c>
      <c r="H123" s="97">
        <v>615</v>
      </c>
      <c r="I123" s="97">
        <v>1010</v>
      </c>
      <c r="J123" s="97">
        <f t="shared" si="37"/>
        <v>7995</v>
      </c>
      <c r="K123" s="97">
        <f t="shared" si="38"/>
        <v>13130</v>
      </c>
      <c r="L123" s="97">
        <f t="shared" si="39"/>
        <v>5135</v>
      </c>
      <c r="M123" s="97" t="str">
        <f t="shared" si="40"/>
        <v>profit</v>
      </c>
      <c r="N123" s="100" t="b">
        <f t="shared" si="41"/>
        <v>0</v>
      </c>
      <c r="V123" s="99">
        <v>45696</v>
      </c>
      <c r="W123" s="97" t="s">
        <v>333</v>
      </c>
      <c r="X123" s="19" t="s">
        <v>139</v>
      </c>
      <c r="Y123" s="97" t="s">
        <v>205</v>
      </c>
      <c r="Z123" s="97" t="s">
        <v>120</v>
      </c>
      <c r="AA123" s="97" t="s">
        <v>123</v>
      </c>
      <c r="AB123" s="97">
        <v>23</v>
      </c>
      <c r="AC123" s="97">
        <v>701</v>
      </c>
      <c r="AD123" s="97">
        <v>1322</v>
      </c>
      <c r="AE123" s="97">
        <f t="shared" si="44"/>
        <v>16123</v>
      </c>
      <c r="AF123" s="97">
        <f t="shared" si="50"/>
        <v>30406</v>
      </c>
      <c r="AG123" s="97">
        <f t="shared" si="45"/>
        <v>14283</v>
      </c>
      <c r="AH123" s="97" t="str">
        <f t="shared" si="46"/>
        <v>profit</v>
      </c>
      <c r="AI123" s="100" t="b">
        <f t="shared" si="47"/>
        <v>0</v>
      </c>
    </row>
    <row r="124" spans="1:35" x14ac:dyDescent="0.3">
      <c r="A124" s="99">
        <v>45688</v>
      </c>
      <c r="B124" s="97" t="s">
        <v>199</v>
      </c>
      <c r="C124" s="19" t="s">
        <v>109</v>
      </c>
      <c r="D124" s="97" t="s">
        <v>131</v>
      </c>
      <c r="E124" s="97" t="s">
        <v>200</v>
      </c>
      <c r="F124" s="97" t="s">
        <v>123</v>
      </c>
      <c r="G124" s="97">
        <v>19</v>
      </c>
      <c r="H124" s="97">
        <v>864</v>
      </c>
      <c r="I124" s="97">
        <v>1147</v>
      </c>
      <c r="J124" s="97">
        <f t="shared" si="37"/>
        <v>16416</v>
      </c>
      <c r="K124" s="97">
        <f t="shared" si="38"/>
        <v>21793</v>
      </c>
      <c r="L124" s="97">
        <f t="shared" si="39"/>
        <v>5377</v>
      </c>
      <c r="M124" s="97" t="str">
        <f t="shared" si="40"/>
        <v>profit</v>
      </c>
      <c r="N124" s="100" t="b">
        <f t="shared" si="41"/>
        <v>0</v>
      </c>
      <c r="V124" s="99">
        <v>45697</v>
      </c>
      <c r="W124" s="97" t="s">
        <v>334</v>
      </c>
      <c r="X124" s="19" t="s">
        <v>139</v>
      </c>
      <c r="Y124" s="97" t="s">
        <v>205</v>
      </c>
      <c r="Z124" s="97" t="s">
        <v>122</v>
      </c>
      <c r="AA124" s="97" t="s">
        <v>112</v>
      </c>
      <c r="AB124" s="97">
        <v>25</v>
      </c>
      <c r="AC124" s="97">
        <v>541</v>
      </c>
      <c r="AD124" s="97">
        <v>1090</v>
      </c>
      <c r="AE124" s="97">
        <f t="shared" si="44"/>
        <v>13525</v>
      </c>
      <c r="AF124" s="97">
        <f t="shared" si="50"/>
        <v>27250</v>
      </c>
      <c r="AG124" s="97">
        <f t="shared" si="45"/>
        <v>13725</v>
      </c>
      <c r="AH124" s="97" t="str">
        <f t="shared" si="46"/>
        <v>profit</v>
      </c>
      <c r="AI124" s="100" t="b">
        <f t="shared" si="47"/>
        <v>0</v>
      </c>
    </row>
    <row r="125" spans="1:35" x14ac:dyDescent="0.3">
      <c r="A125" s="99">
        <v>45507</v>
      </c>
      <c r="B125" s="97" t="s">
        <v>206</v>
      </c>
      <c r="C125" s="19" t="s">
        <v>127</v>
      </c>
      <c r="D125" s="97" t="s">
        <v>207</v>
      </c>
      <c r="E125" s="97" t="s">
        <v>166</v>
      </c>
      <c r="F125" s="97" t="s">
        <v>123</v>
      </c>
      <c r="G125" s="97">
        <v>86</v>
      </c>
      <c r="H125" s="97">
        <v>540</v>
      </c>
      <c r="I125" s="97">
        <v>1460</v>
      </c>
      <c r="J125" s="97">
        <f t="shared" si="37"/>
        <v>46440</v>
      </c>
      <c r="K125" s="97">
        <f t="shared" si="38"/>
        <v>125560</v>
      </c>
      <c r="L125" s="97">
        <f t="shared" si="39"/>
        <v>79120</v>
      </c>
      <c r="M125" s="97" t="str">
        <f t="shared" si="40"/>
        <v>profit</v>
      </c>
      <c r="N125" s="100" t="b">
        <f t="shared" si="41"/>
        <v>1</v>
      </c>
      <c r="V125" s="99">
        <v>45699</v>
      </c>
      <c r="W125" s="97" t="s">
        <v>335</v>
      </c>
      <c r="X125" s="19" t="s">
        <v>139</v>
      </c>
      <c r="Y125" s="97" t="s">
        <v>205</v>
      </c>
      <c r="Z125" s="97" t="s">
        <v>129</v>
      </c>
      <c r="AA125" s="97" t="s">
        <v>112</v>
      </c>
      <c r="AB125" s="97">
        <v>28</v>
      </c>
      <c r="AC125" s="97">
        <v>708</v>
      </c>
      <c r="AD125" s="97">
        <v>1358</v>
      </c>
      <c r="AE125" s="97">
        <f t="shared" si="44"/>
        <v>19824</v>
      </c>
      <c r="AF125" s="97">
        <f t="shared" si="50"/>
        <v>38024</v>
      </c>
      <c r="AG125" s="97">
        <f t="shared" si="45"/>
        <v>18200</v>
      </c>
      <c r="AH125" s="97" t="str">
        <f t="shared" si="46"/>
        <v>profit</v>
      </c>
      <c r="AI125" s="100" t="b">
        <f t="shared" si="47"/>
        <v>0</v>
      </c>
    </row>
    <row r="126" spans="1:35" x14ac:dyDescent="0.3">
      <c r="A126" s="99">
        <v>45454</v>
      </c>
      <c r="B126" s="97" t="s">
        <v>108</v>
      </c>
      <c r="C126" s="19" t="s">
        <v>109</v>
      </c>
      <c r="D126" s="97" t="s">
        <v>110</v>
      </c>
      <c r="E126" s="97" t="s">
        <v>111</v>
      </c>
      <c r="F126" s="97" t="s">
        <v>112</v>
      </c>
      <c r="G126" s="97">
        <v>13</v>
      </c>
      <c r="H126" s="97">
        <v>643</v>
      </c>
      <c r="I126" s="97">
        <v>1432</v>
      </c>
      <c r="J126" s="97">
        <f t="shared" si="37"/>
        <v>8359</v>
      </c>
      <c r="K126" s="97">
        <f t="shared" si="38"/>
        <v>18616</v>
      </c>
      <c r="L126" s="97">
        <f t="shared" si="39"/>
        <v>10257</v>
      </c>
      <c r="M126" s="97" t="str">
        <f t="shared" si="40"/>
        <v>profit</v>
      </c>
      <c r="N126" s="100" t="b">
        <f t="shared" si="41"/>
        <v>0</v>
      </c>
      <c r="V126" s="99">
        <v>45383</v>
      </c>
      <c r="W126" s="97" t="s">
        <v>218</v>
      </c>
      <c r="X126" s="19" t="s">
        <v>139</v>
      </c>
      <c r="Y126" s="97" t="s">
        <v>140</v>
      </c>
      <c r="Z126" s="97" t="s">
        <v>161</v>
      </c>
      <c r="AA126" s="97" t="s">
        <v>123</v>
      </c>
      <c r="AB126" s="97">
        <v>28</v>
      </c>
      <c r="AC126" s="97">
        <v>826</v>
      </c>
      <c r="AD126" s="97">
        <v>929</v>
      </c>
      <c r="AE126" s="97">
        <f t="shared" si="44"/>
        <v>23128</v>
      </c>
      <c r="AF126" s="97">
        <f t="shared" si="50"/>
        <v>26012</v>
      </c>
      <c r="AG126" s="97">
        <f t="shared" si="45"/>
        <v>2884</v>
      </c>
      <c r="AH126" s="97" t="str">
        <f t="shared" si="46"/>
        <v>profit</v>
      </c>
      <c r="AI126" s="100" t="b">
        <f t="shared" si="47"/>
        <v>1</v>
      </c>
    </row>
    <row r="127" spans="1:35" x14ac:dyDescent="0.3">
      <c r="A127" s="99">
        <v>45455</v>
      </c>
      <c r="B127" s="97" t="s">
        <v>114</v>
      </c>
      <c r="C127" s="19" t="s">
        <v>109</v>
      </c>
      <c r="D127" s="97" t="s">
        <v>110</v>
      </c>
      <c r="E127" s="97" t="s">
        <v>115</v>
      </c>
      <c r="F127" s="97" t="s">
        <v>112</v>
      </c>
      <c r="G127" s="97">
        <v>16</v>
      </c>
      <c r="H127" s="97">
        <v>848</v>
      </c>
      <c r="I127" s="97">
        <v>1211</v>
      </c>
      <c r="J127" s="97">
        <f t="shared" si="37"/>
        <v>13568</v>
      </c>
      <c r="K127" s="97">
        <f t="shared" si="38"/>
        <v>19376</v>
      </c>
      <c r="L127" s="97">
        <f t="shared" si="39"/>
        <v>5808</v>
      </c>
      <c r="M127" s="97" t="str">
        <f t="shared" si="40"/>
        <v>profit</v>
      </c>
      <c r="N127" s="100" t="b">
        <f t="shared" si="41"/>
        <v>0</v>
      </c>
      <c r="V127" s="99">
        <v>45384</v>
      </c>
      <c r="W127" s="97" t="s">
        <v>219</v>
      </c>
      <c r="X127" s="19" t="s">
        <v>139</v>
      </c>
      <c r="Y127" s="97" t="s">
        <v>220</v>
      </c>
      <c r="Z127" s="97" t="s">
        <v>137</v>
      </c>
      <c r="AA127" s="97" t="s">
        <v>123</v>
      </c>
      <c r="AB127" s="97">
        <v>25</v>
      </c>
      <c r="AC127" s="97">
        <v>952</v>
      </c>
      <c r="AD127" s="97">
        <v>1261</v>
      </c>
      <c r="AE127" s="97">
        <f t="shared" si="44"/>
        <v>23800</v>
      </c>
      <c r="AF127" s="97">
        <f t="shared" si="50"/>
        <v>31525</v>
      </c>
      <c r="AG127" s="97">
        <f t="shared" si="45"/>
        <v>7725</v>
      </c>
      <c r="AH127" s="97" t="str">
        <f t="shared" si="46"/>
        <v>profit</v>
      </c>
      <c r="AI127" s="100" t="b">
        <f t="shared" si="47"/>
        <v>1</v>
      </c>
    </row>
    <row r="128" spans="1:35" x14ac:dyDescent="0.3">
      <c r="A128" s="99">
        <v>45456</v>
      </c>
      <c r="B128" s="97" t="s">
        <v>117</v>
      </c>
      <c r="C128" s="19" t="s">
        <v>109</v>
      </c>
      <c r="D128" s="97" t="s">
        <v>110</v>
      </c>
      <c r="E128" s="97" t="s">
        <v>118</v>
      </c>
      <c r="F128" s="97" t="s">
        <v>112</v>
      </c>
      <c r="G128" s="97">
        <v>19</v>
      </c>
      <c r="H128" s="97">
        <v>982</v>
      </c>
      <c r="I128" s="97">
        <v>1457</v>
      </c>
      <c r="J128" s="97">
        <f t="shared" si="37"/>
        <v>18658</v>
      </c>
      <c r="K128" s="97">
        <f t="shared" si="38"/>
        <v>27683</v>
      </c>
      <c r="L128" s="97">
        <f t="shared" si="39"/>
        <v>9025</v>
      </c>
      <c r="M128" s="97" t="str">
        <f t="shared" si="40"/>
        <v>profit</v>
      </c>
      <c r="N128" s="100" t="b">
        <f t="shared" si="41"/>
        <v>0</v>
      </c>
      <c r="V128" s="99">
        <v>45385</v>
      </c>
      <c r="W128" s="97" t="s">
        <v>221</v>
      </c>
      <c r="X128" s="19" t="s">
        <v>139</v>
      </c>
      <c r="Y128" s="97" t="s">
        <v>220</v>
      </c>
      <c r="Z128" s="97" t="s">
        <v>120</v>
      </c>
      <c r="AA128" s="97" t="s">
        <v>123</v>
      </c>
      <c r="AB128" s="97">
        <v>20</v>
      </c>
      <c r="AC128" s="97">
        <v>940</v>
      </c>
      <c r="AD128" s="97">
        <v>1259</v>
      </c>
      <c r="AE128" s="97">
        <f t="shared" si="44"/>
        <v>18800</v>
      </c>
      <c r="AF128" s="97">
        <f t="shared" si="50"/>
        <v>25180</v>
      </c>
      <c r="AG128" s="97">
        <f t="shared" si="45"/>
        <v>6380</v>
      </c>
      <c r="AH128" s="97" t="str">
        <f t="shared" si="46"/>
        <v>profit</v>
      </c>
      <c r="AI128" s="100" t="b">
        <f t="shared" si="47"/>
        <v>0</v>
      </c>
    </row>
    <row r="129" spans="1:35" x14ac:dyDescent="0.3">
      <c r="A129" s="99">
        <v>45457</v>
      </c>
      <c r="B129" s="97" t="s">
        <v>119</v>
      </c>
      <c r="C129" s="19" t="s">
        <v>109</v>
      </c>
      <c r="D129" s="97" t="s">
        <v>110</v>
      </c>
      <c r="E129" s="97" t="s">
        <v>120</v>
      </c>
      <c r="F129" s="97" t="s">
        <v>112</v>
      </c>
      <c r="G129" s="97">
        <v>19</v>
      </c>
      <c r="H129" s="97">
        <v>918</v>
      </c>
      <c r="I129" s="97">
        <v>864</v>
      </c>
      <c r="J129" s="97">
        <f t="shared" ref="J129:J192" si="51">G129*H129</f>
        <v>17442</v>
      </c>
      <c r="K129" s="97">
        <f t="shared" ref="K129:K192" si="52">G129*I129</f>
        <v>16416</v>
      </c>
      <c r="L129" s="97">
        <f t="shared" ref="L129:L192" si="53">K129-J129</f>
        <v>-1026</v>
      </c>
      <c r="M129" s="97" t="str">
        <f t="shared" si="40"/>
        <v>loss</v>
      </c>
      <c r="N129" s="100" t="b">
        <f t="shared" si="41"/>
        <v>0</v>
      </c>
      <c r="V129" s="99">
        <v>45386</v>
      </c>
      <c r="W129" s="97" t="s">
        <v>223</v>
      </c>
      <c r="X129" s="19" t="s">
        <v>139</v>
      </c>
      <c r="Y129" s="97" t="s">
        <v>220</v>
      </c>
      <c r="Z129" s="97" t="s">
        <v>155</v>
      </c>
      <c r="AA129" s="97" t="s">
        <v>123</v>
      </c>
      <c r="AB129" s="97">
        <v>22</v>
      </c>
      <c r="AC129" s="97">
        <v>785</v>
      </c>
      <c r="AD129" s="97">
        <v>1292</v>
      </c>
      <c r="AE129" s="97">
        <f t="shared" si="44"/>
        <v>17270</v>
      </c>
      <c r="AF129" s="97">
        <f t="shared" si="50"/>
        <v>28424</v>
      </c>
      <c r="AG129" s="97">
        <f t="shared" si="45"/>
        <v>11154</v>
      </c>
      <c r="AH129" s="97" t="str">
        <f t="shared" si="46"/>
        <v>profit</v>
      </c>
      <c r="AI129" s="100" t="b">
        <f t="shared" si="47"/>
        <v>0</v>
      </c>
    </row>
    <row r="130" spans="1:35" x14ac:dyDescent="0.3">
      <c r="A130" s="99">
        <v>45512</v>
      </c>
      <c r="B130" s="97" t="s">
        <v>208</v>
      </c>
      <c r="C130" s="19" t="s">
        <v>109</v>
      </c>
      <c r="D130" s="97" t="s">
        <v>131</v>
      </c>
      <c r="E130" s="97" t="s">
        <v>129</v>
      </c>
      <c r="F130" s="97" t="s">
        <v>112</v>
      </c>
      <c r="G130" s="97">
        <v>10</v>
      </c>
      <c r="H130" s="97">
        <v>863</v>
      </c>
      <c r="I130" s="97">
        <v>1386</v>
      </c>
      <c r="J130" s="97">
        <f t="shared" si="51"/>
        <v>8630</v>
      </c>
      <c r="K130" s="97">
        <f t="shared" si="52"/>
        <v>13860</v>
      </c>
      <c r="L130" s="97">
        <f t="shared" si="53"/>
        <v>5230</v>
      </c>
      <c r="M130" s="97" t="str">
        <f t="shared" ref="M130:M193" si="54">IF(L130&gt;0,"profit","loss")</f>
        <v>profit</v>
      </c>
      <c r="N130" s="100" t="b">
        <f t="shared" ref="N130:N193" si="55">AND(L130&gt;0,J130&gt;20000)</f>
        <v>0</v>
      </c>
      <c r="V130" s="99">
        <v>45391</v>
      </c>
      <c r="W130" s="97" t="s">
        <v>224</v>
      </c>
      <c r="X130" s="19" t="s">
        <v>139</v>
      </c>
      <c r="Y130" s="97" t="s">
        <v>140</v>
      </c>
      <c r="Z130" s="97" t="s">
        <v>151</v>
      </c>
      <c r="AA130" s="97" t="s">
        <v>112</v>
      </c>
      <c r="AB130" s="97">
        <v>21</v>
      </c>
      <c r="AC130" s="97">
        <v>879</v>
      </c>
      <c r="AD130" s="97">
        <v>1019</v>
      </c>
      <c r="AE130" s="97">
        <f t="shared" si="44"/>
        <v>18459</v>
      </c>
      <c r="AF130" s="97">
        <f t="shared" si="50"/>
        <v>21399</v>
      </c>
      <c r="AG130" s="97">
        <f t="shared" si="45"/>
        <v>2940</v>
      </c>
      <c r="AH130" s="97" t="str">
        <f t="shared" si="46"/>
        <v>profit</v>
      </c>
      <c r="AI130" s="100" t="b">
        <f t="shared" si="47"/>
        <v>0</v>
      </c>
    </row>
    <row r="131" spans="1:35" x14ac:dyDescent="0.3">
      <c r="A131" s="99">
        <v>45459</v>
      </c>
      <c r="B131" s="97" t="s">
        <v>121</v>
      </c>
      <c r="C131" s="19" t="s">
        <v>109</v>
      </c>
      <c r="D131" s="97" t="s">
        <v>110</v>
      </c>
      <c r="E131" s="97" t="s">
        <v>122</v>
      </c>
      <c r="F131" s="97" t="s">
        <v>123</v>
      </c>
      <c r="G131" s="97">
        <v>17</v>
      </c>
      <c r="H131" s="97">
        <v>787</v>
      </c>
      <c r="I131" s="97">
        <v>1108</v>
      </c>
      <c r="J131" s="97">
        <f t="shared" si="51"/>
        <v>13379</v>
      </c>
      <c r="K131" s="97">
        <f t="shared" si="52"/>
        <v>18836</v>
      </c>
      <c r="L131" s="97">
        <f t="shared" si="53"/>
        <v>5457</v>
      </c>
      <c r="M131" s="97" t="str">
        <f t="shared" si="54"/>
        <v>profit</v>
      </c>
      <c r="N131" s="100" t="b">
        <f t="shared" si="55"/>
        <v>0</v>
      </c>
      <c r="V131" s="99">
        <v>45392</v>
      </c>
      <c r="W131" s="97" t="s">
        <v>225</v>
      </c>
      <c r="X131" s="19" t="s">
        <v>139</v>
      </c>
      <c r="Y131" s="97" t="s">
        <v>140</v>
      </c>
      <c r="Z131" s="97" t="s">
        <v>129</v>
      </c>
      <c r="AA131" s="97" t="s">
        <v>112</v>
      </c>
      <c r="AB131" s="97">
        <v>28</v>
      </c>
      <c r="AC131" s="97">
        <v>937</v>
      </c>
      <c r="AD131" s="97">
        <v>872</v>
      </c>
      <c r="AE131" s="97">
        <f t="shared" si="44"/>
        <v>26236</v>
      </c>
      <c r="AF131" s="97" t="s">
        <v>340</v>
      </c>
      <c r="AG131" s="97" t="e">
        <f t="shared" si="45"/>
        <v>#VALUE!</v>
      </c>
      <c r="AH131" s="97" t="e">
        <f t="shared" si="46"/>
        <v>#VALUE!</v>
      </c>
      <c r="AI131" s="100" t="e">
        <f t="shared" si="47"/>
        <v>#VALUE!</v>
      </c>
    </row>
    <row r="132" spans="1:35" x14ac:dyDescent="0.3">
      <c r="A132" s="99">
        <v>45460</v>
      </c>
      <c r="B132" s="97" t="s">
        <v>124</v>
      </c>
      <c r="C132" s="19" t="s">
        <v>109</v>
      </c>
      <c r="D132" s="97" t="s">
        <v>110</v>
      </c>
      <c r="E132" s="97" t="s">
        <v>125</v>
      </c>
      <c r="F132" s="97" t="s">
        <v>123</v>
      </c>
      <c r="G132" s="97">
        <v>15</v>
      </c>
      <c r="H132" s="97">
        <v>545</v>
      </c>
      <c r="I132" s="97">
        <v>1182</v>
      </c>
      <c r="J132" s="97">
        <f t="shared" si="51"/>
        <v>8175</v>
      </c>
      <c r="K132" s="97">
        <f t="shared" si="52"/>
        <v>17730</v>
      </c>
      <c r="L132" s="97">
        <f t="shared" si="53"/>
        <v>9555</v>
      </c>
      <c r="M132" s="97" t="str">
        <f t="shared" si="54"/>
        <v>profit</v>
      </c>
      <c r="N132" s="100" t="b">
        <f t="shared" si="55"/>
        <v>0</v>
      </c>
      <c r="V132" s="99">
        <v>45698</v>
      </c>
      <c r="W132" s="97" t="s">
        <v>336</v>
      </c>
      <c r="X132" s="19" t="s">
        <v>139</v>
      </c>
      <c r="Y132" s="97" t="s">
        <v>205</v>
      </c>
      <c r="Z132" s="97" t="s">
        <v>125</v>
      </c>
      <c r="AA132" s="97" t="s">
        <v>112</v>
      </c>
      <c r="AB132" s="97">
        <v>26</v>
      </c>
      <c r="AC132" s="97">
        <v>751</v>
      </c>
      <c r="AD132" s="97">
        <v>1292</v>
      </c>
      <c r="AE132" s="97">
        <f t="shared" si="44"/>
        <v>19526</v>
      </c>
      <c r="AF132" s="97">
        <f t="shared" ref="AF132:AF148" si="56">AB132*AD132</f>
        <v>33592</v>
      </c>
      <c r="AG132" s="97">
        <f t="shared" si="45"/>
        <v>14066</v>
      </c>
      <c r="AH132" s="97" t="str">
        <f t="shared" si="46"/>
        <v>profit</v>
      </c>
      <c r="AI132" s="100" t="b">
        <f t="shared" si="47"/>
        <v>0</v>
      </c>
    </row>
    <row r="133" spans="1:35" x14ac:dyDescent="0.3">
      <c r="A133" s="99">
        <v>45472</v>
      </c>
      <c r="B133" s="97" t="s">
        <v>130</v>
      </c>
      <c r="C133" s="19" t="s">
        <v>109</v>
      </c>
      <c r="D133" s="97" t="s">
        <v>131</v>
      </c>
      <c r="E133" s="97" t="s">
        <v>129</v>
      </c>
      <c r="F133" s="97" t="s">
        <v>112</v>
      </c>
      <c r="G133" s="97">
        <v>11</v>
      </c>
      <c r="H133" s="97">
        <v>616</v>
      </c>
      <c r="I133" s="97">
        <v>1015</v>
      </c>
      <c r="J133" s="97">
        <f t="shared" si="51"/>
        <v>6776</v>
      </c>
      <c r="K133" s="97">
        <f t="shared" si="52"/>
        <v>11165</v>
      </c>
      <c r="L133" s="97">
        <f t="shared" si="53"/>
        <v>4389</v>
      </c>
      <c r="M133" s="97" t="str">
        <f t="shared" si="54"/>
        <v>profit</v>
      </c>
      <c r="N133" s="100" t="b">
        <f t="shared" si="55"/>
        <v>0</v>
      </c>
      <c r="V133" s="99">
        <v>45393</v>
      </c>
      <c r="W133" s="97" t="s">
        <v>226</v>
      </c>
      <c r="X133" s="19" t="s">
        <v>139</v>
      </c>
      <c r="Y133" s="97" t="s">
        <v>140</v>
      </c>
      <c r="Z133" s="97" t="s">
        <v>133</v>
      </c>
      <c r="AA133" s="97" t="s">
        <v>112</v>
      </c>
      <c r="AB133" s="97">
        <v>22</v>
      </c>
      <c r="AC133" s="97">
        <v>832</v>
      </c>
      <c r="AD133" s="97">
        <v>769</v>
      </c>
      <c r="AE133" s="97">
        <f t="shared" si="44"/>
        <v>18304</v>
      </c>
      <c r="AF133" s="97">
        <f t="shared" si="56"/>
        <v>16918</v>
      </c>
      <c r="AG133" s="97">
        <f t="shared" si="45"/>
        <v>-1386</v>
      </c>
      <c r="AH133" s="97" t="str">
        <f t="shared" si="46"/>
        <v>loss</v>
      </c>
      <c r="AI133" s="100" t="b">
        <f t="shared" si="47"/>
        <v>0</v>
      </c>
    </row>
    <row r="134" spans="1:35" x14ac:dyDescent="0.3">
      <c r="A134" s="99">
        <v>45473</v>
      </c>
      <c r="B134" s="97" t="s">
        <v>132</v>
      </c>
      <c r="C134" s="19" t="s">
        <v>109</v>
      </c>
      <c r="D134" s="97" t="s">
        <v>131</v>
      </c>
      <c r="E134" s="97" t="s">
        <v>133</v>
      </c>
      <c r="F134" s="97" t="s">
        <v>112</v>
      </c>
      <c r="G134" s="97">
        <v>16</v>
      </c>
      <c r="H134" s="97">
        <v>911</v>
      </c>
      <c r="I134" s="97">
        <v>1299</v>
      </c>
      <c r="J134" s="97">
        <f t="shared" si="51"/>
        <v>14576</v>
      </c>
      <c r="K134" s="97">
        <f t="shared" si="52"/>
        <v>20784</v>
      </c>
      <c r="L134" s="97">
        <f t="shared" si="53"/>
        <v>6208</v>
      </c>
      <c r="M134" s="97" t="str">
        <f t="shared" si="54"/>
        <v>profit</v>
      </c>
      <c r="N134" s="100" t="b">
        <f t="shared" si="55"/>
        <v>0</v>
      </c>
      <c r="V134" s="99">
        <v>45394</v>
      </c>
      <c r="W134" s="97" t="s">
        <v>228</v>
      </c>
      <c r="X134" s="19" t="s">
        <v>139</v>
      </c>
      <c r="Y134" s="97" t="s">
        <v>140</v>
      </c>
      <c r="Z134" s="97" t="s">
        <v>133</v>
      </c>
      <c r="AA134" s="97" t="s">
        <v>112</v>
      </c>
      <c r="AB134" s="97">
        <v>28</v>
      </c>
      <c r="AC134" s="97">
        <v>832</v>
      </c>
      <c r="AD134" s="97">
        <v>1028</v>
      </c>
      <c r="AE134" s="97">
        <f t="shared" si="44"/>
        <v>23296</v>
      </c>
      <c r="AF134" s="97">
        <f t="shared" si="56"/>
        <v>28784</v>
      </c>
      <c r="AG134" s="97">
        <f t="shared" si="45"/>
        <v>5488</v>
      </c>
      <c r="AH134" s="97" t="str">
        <f t="shared" si="46"/>
        <v>profit</v>
      </c>
      <c r="AI134" s="100" t="b">
        <f t="shared" si="47"/>
        <v>1</v>
      </c>
    </row>
    <row r="135" spans="1:35" x14ac:dyDescent="0.3">
      <c r="A135" s="99">
        <v>45474</v>
      </c>
      <c r="B135" s="97" t="s">
        <v>134</v>
      </c>
      <c r="C135" s="19" t="s">
        <v>109</v>
      </c>
      <c r="D135" s="97" t="s">
        <v>131</v>
      </c>
      <c r="E135" s="97" t="s">
        <v>133</v>
      </c>
      <c r="F135" s="97" t="s">
        <v>112</v>
      </c>
      <c r="G135" s="97">
        <v>19</v>
      </c>
      <c r="H135" s="97">
        <v>816</v>
      </c>
      <c r="I135" s="97">
        <v>1285</v>
      </c>
      <c r="J135" s="97">
        <f t="shared" si="51"/>
        <v>15504</v>
      </c>
      <c r="K135" s="97">
        <f t="shared" si="52"/>
        <v>24415</v>
      </c>
      <c r="L135" s="97">
        <f t="shared" si="53"/>
        <v>8911</v>
      </c>
      <c r="M135" s="97" t="str">
        <f t="shared" si="54"/>
        <v>profit</v>
      </c>
      <c r="N135" s="100" t="b">
        <f t="shared" si="55"/>
        <v>0</v>
      </c>
      <c r="V135" s="99">
        <v>45396</v>
      </c>
      <c r="W135" s="97" t="s">
        <v>229</v>
      </c>
      <c r="X135" s="19" t="s">
        <v>139</v>
      </c>
      <c r="Y135" s="97" t="s">
        <v>140</v>
      </c>
      <c r="Z135" s="97" t="s">
        <v>122</v>
      </c>
      <c r="AA135" s="97" t="s">
        <v>112</v>
      </c>
      <c r="AB135" s="97">
        <v>22</v>
      </c>
      <c r="AC135" s="97">
        <v>622</v>
      </c>
      <c r="AD135" s="97">
        <v>822</v>
      </c>
      <c r="AE135" s="97">
        <f t="shared" si="44"/>
        <v>13684</v>
      </c>
      <c r="AF135" s="97">
        <f t="shared" si="56"/>
        <v>18084</v>
      </c>
      <c r="AG135" s="97">
        <f t="shared" si="45"/>
        <v>4400</v>
      </c>
      <c r="AH135" s="97" t="str">
        <f t="shared" si="46"/>
        <v>profit</v>
      </c>
      <c r="AI135" s="100" t="b">
        <f t="shared" si="47"/>
        <v>0</v>
      </c>
    </row>
    <row r="136" spans="1:35" x14ac:dyDescent="0.3">
      <c r="A136" s="99">
        <v>45476</v>
      </c>
      <c r="B136" s="97" t="s">
        <v>135</v>
      </c>
      <c r="C136" s="19" t="s">
        <v>109</v>
      </c>
      <c r="D136" s="97" t="s">
        <v>131</v>
      </c>
      <c r="E136" s="97" t="s">
        <v>122</v>
      </c>
      <c r="F136" s="97" t="s">
        <v>112</v>
      </c>
      <c r="G136" s="97">
        <v>16</v>
      </c>
      <c r="H136" s="97">
        <v>693</v>
      </c>
      <c r="I136" s="97">
        <v>1042</v>
      </c>
      <c r="J136" s="97">
        <f t="shared" si="51"/>
        <v>11088</v>
      </c>
      <c r="K136" s="97">
        <f t="shared" si="52"/>
        <v>16672</v>
      </c>
      <c r="L136" s="97">
        <f t="shared" si="53"/>
        <v>5584</v>
      </c>
      <c r="M136" s="97" t="str">
        <f t="shared" si="54"/>
        <v>profit</v>
      </c>
      <c r="N136" s="100" t="b">
        <f t="shared" si="55"/>
        <v>0</v>
      </c>
      <c r="V136" s="99">
        <v>45702</v>
      </c>
      <c r="W136" s="97" t="s">
        <v>337</v>
      </c>
      <c r="X136" s="19" t="s">
        <v>127</v>
      </c>
      <c r="Y136" s="97" t="s">
        <v>186</v>
      </c>
      <c r="Z136" s="97" t="s">
        <v>155</v>
      </c>
      <c r="AA136" s="97" t="s">
        <v>112</v>
      </c>
      <c r="AB136" s="97">
        <v>55</v>
      </c>
      <c r="AC136" s="97">
        <v>856</v>
      </c>
      <c r="AD136" s="97">
        <v>756</v>
      </c>
      <c r="AE136" s="97">
        <f t="shared" si="44"/>
        <v>47080</v>
      </c>
      <c r="AF136" s="97">
        <f t="shared" si="56"/>
        <v>41580</v>
      </c>
      <c r="AG136" s="97">
        <f t="shared" si="45"/>
        <v>-5500</v>
      </c>
      <c r="AH136" s="97" t="str">
        <f t="shared" si="46"/>
        <v>loss</v>
      </c>
      <c r="AI136" s="100" t="b">
        <f t="shared" si="47"/>
        <v>0</v>
      </c>
    </row>
    <row r="137" spans="1:35" x14ac:dyDescent="0.3">
      <c r="A137" s="99">
        <v>45477</v>
      </c>
      <c r="B137" s="97" t="s">
        <v>136</v>
      </c>
      <c r="C137" s="19" t="s">
        <v>109</v>
      </c>
      <c r="D137" s="97" t="s">
        <v>131</v>
      </c>
      <c r="E137" s="97" t="s">
        <v>137</v>
      </c>
      <c r="F137" s="97" t="s">
        <v>112</v>
      </c>
      <c r="G137" s="97">
        <v>14</v>
      </c>
      <c r="H137" s="97">
        <v>965</v>
      </c>
      <c r="I137" s="97">
        <v>1212</v>
      </c>
      <c r="J137" s="97">
        <f t="shared" si="51"/>
        <v>13510</v>
      </c>
      <c r="K137" s="97">
        <f t="shared" si="52"/>
        <v>16968</v>
      </c>
      <c r="L137" s="97">
        <f t="shared" si="53"/>
        <v>3458</v>
      </c>
      <c r="M137" s="97" t="str">
        <f t="shared" si="54"/>
        <v>profit</v>
      </c>
      <c r="N137" s="100" t="b">
        <f t="shared" si="55"/>
        <v>0</v>
      </c>
      <c r="V137" s="99">
        <v>45404</v>
      </c>
      <c r="W137" s="97" t="s">
        <v>231</v>
      </c>
      <c r="X137" s="19" t="s">
        <v>139</v>
      </c>
      <c r="Y137" s="97" t="s">
        <v>154</v>
      </c>
      <c r="Z137" s="97" t="s">
        <v>133</v>
      </c>
      <c r="AA137" s="97" t="s">
        <v>123</v>
      </c>
      <c r="AB137" s="97">
        <v>23</v>
      </c>
      <c r="AC137" s="97">
        <v>663</v>
      </c>
      <c r="AD137" s="97">
        <v>1153</v>
      </c>
      <c r="AE137" s="97">
        <f t="shared" ref="AE137:AE200" si="57">AB137*AC137</f>
        <v>15249</v>
      </c>
      <c r="AF137" s="97">
        <f t="shared" si="56"/>
        <v>26519</v>
      </c>
      <c r="AG137" s="97">
        <f t="shared" ref="AG137:AG200" si="58">AF137-AE137</f>
        <v>11270</v>
      </c>
      <c r="AH137" s="97" t="str">
        <f t="shared" si="46"/>
        <v>profit</v>
      </c>
      <c r="AI137" s="100" t="b">
        <f t="shared" si="47"/>
        <v>0</v>
      </c>
    </row>
    <row r="138" spans="1:35" x14ac:dyDescent="0.3">
      <c r="A138" s="99">
        <v>45520</v>
      </c>
      <c r="B138" s="97" t="s">
        <v>209</v>
      </c>
      <c r="C138" s="19" t="s">
        <v>139</v>
      </c>
      <c r="D138" s="97" t="s">
        <v>205</v>
      </c>
      <c r="E138" s="97" t="s">
        <v>145</v>
      </c>
      <c r="F138" s="97" t="s">
        <v>123</v>
      </c>
      <c r="G138" s="97">
        <v>26</v>
      </c>
      <c r="H138" s="97">
        <v>715</v>
      </c>
      <c r="I138" s="97">
        <v>840</v>
      </c>
      <c r="J138" s="97">
        <f t="shared" si="51"/>
        <v>18590</v>
      </c>
      <c r="K138" s="97" t="s">
        <v>340</v>
      </c>
      <c r="L138" s="97" t="e">
        <f t="shared" si="53"/>
        <v>#VALUE!</v>
      </c>
      <c r="M138" s="97" t="e">
        <f t="shared" si="54"/>
        <v>#VALUE!</v>
      </c>
      <c r="N138" s="100" t="e">
        <f t="shared" si="55"/>
        <v>#VALUE!</v>
      </c>
      <c r="V138" s="99">
        <v>45406</v>
      </c>
      <c r="W138" s="97" t="s">
        <v>233</v>
      </c>
      <c r="X138" s="19" t="s">
        <v>139</v>
      </c>
      <c r="Y138" s="97" t="s">
        <v>154</v>
      </c>
      <c r="Z138" s="97" t="s">
        <v>155</v>
      </c>
      <c r="AA138" s="97" t="s">
        <v>123</v>
      </c>
      <c r="AB138" s="97">
        <v>23</v>
      </c>
      <c r="AC138" s="97">
        <v>779</v>
      </c>
      <c r="AD138" s="97">
        <v>1415</v>
      </c>
      <c r="AE138" s="97">
        <f t="shared" si="57"/>
        <v>17917</v>
      </c>
      <c r="AF138" s="97">
        <f t="shared" si="56"/>
        <v>32545</v>
      </c>
      <c r="AG138" s="97">
        <f t="shared" si="58"/>
        <v>14628</v>
      </c>
      <c r="AH138" s="97" t="str">
        <f t="shared" ref="AH138:AH201" si="59">IF(AG138&gt;0,"profit","loss")</f>
        <v>profit</v>
      </c>
      <c r="AI138" s="100" t="b">
        <f t="shared" ref="AI138:AI201" si="60">AND(AG138&gt;0,AE138&gt;20000)</f>
        <v>0</v>
      </c>
    </row>
    <row r="139" spans="1:35" x14ac:dyDescent="0.3">
      <c r="A139" s="99">
        <v>45478</v>
      </c>
      <c r="B139" s="97" t="s">
        <v>141</v>
      </c>
      <c r="C139" s="19" t="s">
        <v>109</v>
      </c>
      <c r="D139" s="97" t="s">
        <v>131</v>
      </c>
      <c r="E139" s="97" t="s">
        <v>142</v>
      </c>
      <c r="F139" s="97" t="s">
        <v>112</v>
      </c>
      <c r="G139" s="97">
        <v>20</v>
      </c>
      <c r="H139" s="97">
        <v>960</v>
      </c>
      <c r="I139" s="97">
        <v>1170</v>
      </c>
      <c r="J139" s="97">
        <f t="shared" si="51"/>
        <v>19200</v>
      </c>
      <c r="K139" s="97">
        <f t="shared" si="52"/>
        <v>23400</v>
      </c>
      <c r="L139" s="97">
        <f t="shared" si="53"/>
        <v>4200</v>
      </c>
      <c r="M139" s="97" t="str">
        <f t="shared" si="54"/>
        <v>profit</v>
      </c>
      <c r="N139" s="100" t="b">
        <f t="shared" si="55"/>
        <v>0</v>
      </c>
      <c r="V139" s="99">
        <v>45408</v>
      </c>
      <c r="W139" s="97" t="s">
        <v>235</v>
      </c>
      <c r="X139" s="19" t="s">
        <v>139</v>
      </c>
      <c r="Y139" s="97" t="s">
        <v>154</v>
      </c>
      <c r="Z139" s="97" t="s">
        <v>133</v>
      </c>
      <c r="AA139" s="97" t="s">
        <v>112</v>
      </c>
      <c r="AB139" s="97">
        <v>29</v>
      </c>
      <c r="AC139" s="97">
        <v>952</v>
      </c>
      <c r="AD139" s="97">
        <v>1428</v>
      </c>
      <c r="AE139" s="97">
        <f t="shared" si="57"/>
        <v>27608</v>
      </c>
      <c r="AF139" s="97">
        <f t="shared" si="56"/>
        <v>41412</v>
      </c>
      <c r="AG139" s="97">
        <f t="shared" si="58"/>
        <v>13804</v>
      </c>
      <c r="AH139" s="97" t="str">
        <f t="shared" si="59"/>
        <v>profit</v>
      </c>
      <c r="AI139" s="100" t="b">
        <f t="shared" si="60"/>
        <v>1</v>
      </c>
    </row>
    <row r="140" spans="1:35" x14ac:dyDescent="0.3">
      <c r="A140" s="99">
        <v>45479</v>
      </c>
      <c r="B140" s="97" t="s">
        <v>143</v>
      </c>
      <c r="C140" s="19" t="s">
        <v>109</v>
      </c>
      <c r="D140" s="97" t="s">
        <v>131</v>
      </c>
      <c r="E140" s="97" t="s">
        <v>122</v>
      </c>
      <c r="F140" s="97" t="s">
        <v>123</v>
      </c>
      <c r="G140" s="97">
        <v>16</v>
      </c>
      <c r="H140" s="97">
        <v>734</v>
      </c>
      <c r="I140" s="97">
        <v>1330</v>
      </c>
      <c r="J140" s="97">
        <f t="shared" si="51"/>
        <v>11744</v>
      </c>
      <c r="K140" s="97">
        <f t="shared" si="52"/>
        <v>21280</v>
      </c>
      <c r="L140" s="97">
        <f t="shared" si="53"/>
        <v>9536</v>
      </c>
      <c r="M140" s="97" t="str">
        <f t="shared" si="54"/>
        <v>profit</v>
      </c>
      <c r="N140" s="100" t="b">
        <f t="shared" si="55"/>
        <v>0</v>
      </c>
      <c r="V140" s="99">
        <v>45409</v>
      </c>
      <c r="W140" s="97" t="s">
        <v>236</v>
      </c>
      <c r="X140" s="19" t="s">
        <v>139</v>
      </c>
      <c r="Y140" s="97" t="s">
        <v>154</v>
      </c>
      <c r="Z140" s="97" t="s">
        <v>125</v>
      </c>
      <c r="AA140" s="97" t="s">
        <v>112</v>
      </c>
      <c r="AB140" s="97">
        <v>26</v>
      </c>
      <c r="AC140" s="97">
        <v>983</v>
      </c>
      <c r="AD140" s="97">
        <v>1270</v>
      </c>
      <c r="AE140" s="97">
        <f t="shared" si="57"/>
        <v>25558</v>
      </c>
      <c r="AF140" s="97">
        <f t="shared" si="56"/>
        <v>33020</v>
      </c>
      <c r="AG140" s="97">
        <f t="shared" si="58"/>
        <v>7462</v>
      </c>
      <c r="AH140" s="97" t="str">
        <f t="shared" si="59"/>
        <v>profit</v>
      </c>
      <c r="AI140" s="100" t="b">
        <f t="shared" si="60"/>
        <v>1</v>
      </c>
    </row>
    <row r="141" spans="1:35" x14ac:dyDescent="0.3">
      <c r="A141" s="99">
        <v>45480</v>
      </c>
      <c r="B141" s="97" t="s">
        <v>144</v>
      </c>
      <c r="C141" s="19" t="s">
        <v>109</v>
      </c>
      <c r="D141" s="97" t="s">
        <v>131</v>
      </c>
      <c r="E141" s="97" t="s">
        <v>145</v>
      </c>
      <c r="F141" s="97" t="s">
        <v>123</v>
      </c>
      <c r="G141" s="97">
        <v>16</v>
      </c>
      <c r="H141" s="97">
        <v>673</v>
      </c>
      <c r="I141" s="97">
        <v>1233</v>
      </c>
      <c r="J141" s="97">
        <f t="shared" si="51"/>
        <v>10768</v>
      </c>
      <c r="K141" s="97">
        <f t="shared" si="52"/>
        <v>19728</v>
      </c>
      <c r="L141" s="97">
        <f t="shared" si="53"/>
        <v>8960</v>
      </c>
      <c r="M141" s="97" t="str">
        <f t="shared" si="54"/>
        <v>profit</v>
      </c>
      <c r="N141" s="100" t="b">
        <f t="shared" si="55"/>
        <v>0</v>
      </c>
      <c r="V141" s="99">
        <v>45410</v>
      </c>
      <c r="W141" s="97" t="s">
        <v>237</v>
      </c>
      <c r="X141" s="19" t="s">
        <v>139</v>
      </c>
      <c r="Y141" s="97" t="s">
        <v>154</v>
      </c>
      <c r="Z141" s="97" t="s">
        <v>200</v>
      </c>
      <c r="AA141" s="97" t="s">
        <v>112</v>
      </c>
      <c r="AB141" s="97">
        <v>28</v>
      </c>
      <c r="AC141" s="97">
        <v>814</v>
      </c>
      <c r="AD141" s="97">
        <v>1343</v>
      </c>
      <c r="AE141" s="97">
        <f t="shared" si="57"/>
        <v>22792</v>
      </c>
      <c r="AF141" s="97">
        <f t="shared" si="56"/>
        <v>37604</v>
      </c>
      <c r="AG141" s="97">
        <f t="shared" si="58"/>
        <v>14812</v>
      </c>
      <c r="AH141" s="97" t="str">
        <f t="shared" si="59"/>
        <v>profit</v>
      </c>
      <c r="AI141" s="100" t="b">
        <f t="shared" si="60"/>
        <v>1</v>
      </c>
    </row>
    <row r="142" spans="1:35" x14ac:dyDescent="0.3">
      <c r="A142" s="99">
        <v>45481</v>
      </c>
      <c r="B142" s="97" t="s">
        <v>83</v>
      </c>
      <c r="C142" s="19" t="s">
        <v>109</v>
      </c>
      <c r="D142" s="97" t="s">
        <v>131</v>
      </c>
      <c r="E142" s="97" t="s">
        <v>146</v>
      </c>
      <c r="F142" s="97" t="s">
        <v>123</v>
      </c>
      <c r="G142" s="97">
        <v>14</v>
      </c>
      <c r="H142" s="97">
        <v>782</v>
      </c>
      <c r="I142" s="97">
        <v>835</v>
      </c>
      <c r="J142" s="97">
        <f t="shared" si="51"/>
        <v>10948</v>
      </c>
      <c r="K142" s="97" t="s">
        <v>340</v>
      </c>
      <c r="L142" s="97" t="e">
        <f t="shared" si="53"/>
        <v>#VALUE!</v>
      </c>
      <c r="M142" s="97" t="e">
        <f t="shared" si="54"/>
        <v>#VALUE!</v>
      </c>
      <c r="N142" s="100" t="e">
        <f t="shared" si="55"/>
        <v>#VALUE!</v>
      </c>
      <c r="V142" s="99">
        <v>45411</v>
      </c>
      <c r="W142" s="97" t="s">
        <v>238</v>
      </c>
      <c r="X142" s="19" t="s">
        <v>139</v>
      </c>
      <c r="Y142" s="97" t="s">
        <v>154</v>
      </c>
      <c r="Z142" s="97" t="s">
        <v>137</v>
      </c>
      <c r="AA142" s="97" t="s">
        <v>112</v>
      </c>
      <c r="AB142" s="97">
        <v>26</v>
      </c>
      <c r="AC142" s="97">
        <v>835</v>
      </c>
      <c r="AD142" s="97">
        <v>973</v>
      </c>
      <c r="AE142" s="97">
        <f t="shared" si="57"/>
        <v>21710</v>
      </c>
      <c r="AF142" s="97">
        <f t="shared" si="56"/>
        <v>25298</v>
      </c>
      <c r="AG142" s="97">
        <f t="shared" si="58"/>
        <v>3588</v>
      </c>
      <c r="AH142" s="97" t="str">
        <f t="shared" si="59"/>
        <v>profit</v>
      </c>
      <c r="AI142" s="100" t="b">
        <f t="shared" si="60"/>
        <v>1</v>
      </c>
    </row>
    <row r="143" spans="1:35" x14ac:dyDescent="0.3">
      <c r="A143" s="99">
        <v>45482</v>
      </c>
      <c r="B143" s="97" t="s">
        <v>147</v>
      </c>
      <c r="C143" s="19" t="s">
        <v>109</v>
      </c>
      <c r="D143" s="97" t="s">
        <v>131</v>
      </c>
      <c r="E143" s="97" t="s">
        <v>129</v>
      </c>
      <c r="F143" s="97" t="s">
        <v>123</v>
      </c>
      <c r="G143" s="97">
        <v>19</v>
      </c>
      <c r="H143" s="97">
        <v>536</v>
      </c>
      <c r="I143" s="97">
        <v>927</v>
      </c>
      <c r="J143" s="97">
        <f t="shared" si="51"/>
        <v>10184</v>
      </c>
      <c r="K143" s="97">
        <f t="shared" si="52"/>
        <v>17613</v>
      </c>
      <c r="L143" s="97">
        <f t="shared" si="53"/>
        <v>7429</v>
      </c>
      <c r="M143" s="97" t="str">
        <f t="shared" si="54"/>
        <v>profit</v>
      </c>
      <c r="N143" s="100" t="b">
        <f t="shared" si="55"/>
        <v>0</v>
      </c>
      <c r="V143" s="99">
        <v>45709</v>
      </c>
      <c r="W143" s="97" t="s">
        <v>338</v>
      </c>
      <c r="X143" s="19" t="s">
        <v>127</v>
      </c>
      <c r="Y143" s="97" t="s">
        <v>186</v>
      </c>
      <c r="Z143" s="97" t="s">
        <v>240</v>
      </c>
      <c r="AA143" s="97" t="s">
        <v>123</v>
      </c>
      <c r="AB143" s="97">
        <v>88</v>
      </c>
      <c r="AC143" s="97">
        <v>635</v>
      </c>
      <c r="AD143" s="97">
        <v>1370</v>
      </c>
      <c r="AE143" s="97">
        <f t="shared" si="57"/>
        <v>55880</v>
      </c>
      <c r="AF143" s="97">
        <f t="shared" si="56"/>
        <v>120560</v>
      </c>
      <c r="AG143" s="97">
        <f t="shared" si="58"/>
        <v>64680</v>
      </c>
      <c r="AH143" s="97" t="str">
        <f t="shared" si="59"/>
        <v>profit</v>
      </c>
      <c r="AI143" s="100" t="b">
        <f t="shared" si="60"/>
        <v>1</v>
      </c>
    </row>
    <row r="144" spans="1:35" x14ac:dyDescent="0.3">
      <c r="A144" s="99">
        <v>45526</v>
      </c>
      <c r="B144" s="97" t="s">
        <v>210</v>
      </c>
      <c r="C144" s="19" t="s">
        <v>139</v>
      </c>
      <c r="D144" s="97" t="s">
        <v>205</v>
      </c>
      <c r="E144" s="97" t="s">
        <v>155</v>
      </c>
      <c r="F144" s="97" t="s">
        <v>112</v>
      </c>
      <c r="G144" s="97">
        <v>23</v>
      </c>
      <c r="H144" s="97">
        <v>923</v>
      </c>
      <c r="I144" s="97">
        <v>897</v>
      </c>
      <c r="J144" s="97">
        <f t="shared" si="51"/>
        <v>21229</v>
      </c>
      <c r="K144" s="97">
        <f t="shared" si="52"/>
        <v>20631</v>
      </c>
      <c r="L144" s="97">
        <f t="shared" si="53"/>
        <v>-598</v>
      </c>
      <c r="M144" s="97" t="str">
        <f t="shared" si="54"/>
        <v>loss</v>
      </c>
      <c r="N144" s="100" t="b">
        <f t="shared" si="55"/>
        <v>0</v>
      </c>
      <c r="V144" s="99">
        <v>45412</v>
      </c>
      <c r="W144" s="97" t="s">
        <v>239</v>
      </c>
      <c r="X144" s="19" t="s">
        <v>139</v>
      </c>
      <c r="Y144" s="97" t="s">
        <v>154</v>
      </c>
      <c r="Z144" s="97" t="s">
        <v>240</v>
      </c>
      <c r="AA144" s="97" t="s">
        <v>112</v>
      </c>
      <c r="AB144" s="97">
        <v>24</v>
      </c>
      <c r="AC144" s="97">
        <v>631</v>
      </c>
      <c r="AD144" s="97">
        <v>1304</v>
      </c>
      <c r="AE144" s="97">
        <f t="shared" si="57"/>
        <v>15144</v>
      </c>
      <c r="AF144" s="97">
        <f t="shared" si="56"/>
        <v>31296</v>
      </c>
      <c r="AG144" s="97">
        <f t="shared" si="58"/>
        <v>16152</v>
      </c>
      <c r="AH144" s="97" t="str">
        <f t="shared" si="59"/>
        <v>profit</v>
      </c>
      <c r="AI144" s="100" t="b">
        <f t="shared" si="60"/>
        <v>0</v>
      </c>
    </row>
    <row r="145" spans="1:35" x14ac:dyDescent="0.3">
      <c r="A145" s="99">
        <v>45483</v>
      </c>
      <c r="B145" s="97" t="s">
        <v>148</v>
      </c>
      <c r="C145" s="19" t="s">
        <v>109</v>
      </c>
      <c r="D145" s="97" t="s">
        <v>131</v>
      </c>
      <c r="E145" s="97" t="s">
        <v>133</v>
      </c>
      <c r="F145" s="97" t="s">
        <v>112</v>
      </c>
      <c r="G145" s="97">
        <v>11</v>
      </c>
      <c r="H145" s="97">
        <v>991</v>
      </c>
      <c r="I145" s="97">
        <v>803</v>
      </c>
      <c r="J145" s="97">
        <f t="shared" si="51"/>
        <v>10901</v>
      </c>
      <c r="K145" s="97">
        <f t="shared" si="52"/>
        <v>8833</v>
      </c>
      <c r="L145" s="97">
        <f t="shared" si="53"/>
        <v>-2068</v>
      </c>
      <c r="M145" s="97" t="str">
        <f t="shared" si="54"/>
        <v>loss</v>
      </c>
      <c r="N145" s="100" t="b">
        <f t="shared" si="55"/>
        <v>0</v>
      </c>
      <c r="V145" s="99">
        <v>45413</v>
      </c>
      <c r="W145" s="97" t="s">
        <v>241</v>
      </c>
      <c r="X145" s="19" t="s">
        <v>139</v>
      </c>
      <c r="Y145" s="97" t="s">
        <v>154</v>
      </c>
      <c r="Z145" s="97" t="s">
        <v>242</v>
      </c>
      <c r="AA145" s="97" t="s">
        <v>112</v>
      </c>
      <c r="AB145" s="97">
        <v>24</v>
      </c>
      <c r="AC145" s="97">
        <v>833</v>
      </c>
      <c r="AD145" s="97">
        <v>1280</v>
      </c>
      <c r="AE145" s="97">
        <f t="shared" si="57"/>
        <v>19992</v>
      </c>
      <c r="AF145" s="97">
        <f t="shared" si="56"/>
        <v>30720</v>
      </c>
      <c r="AG145" s="97">
        <f t="shared" si="58"/>
        <v>10728</v>
      </c>
      <c r="AH145" s="97" t="str">
        <f t="shared" si="59"/>
        <v>profit</v>
      </c>
      <c r="AI145" s="100" t="b">
        <f t="shared" si="60"/>
        <v>0</v>
      </c>
    </row>
    <row r="146" spans="1:35" x14ac:dyDescent="0.3">
      <c r="A146" s="99">
        <v>45510</v>
      </c>
      <c r="B146" s="97" t="s">
        <v>149</v>
      </c>
      <c r="C146" s="19" t="s">
        <v>109</v>
      </c>
      <c r="D146" s="97" t="s">
        <v>131</v>
      </c>
      <c r="E146" s="97" t="s">
        <v>137</v>
      </c>
      <c r="F146" s="97" t="s">
        <v>112</v>
      </c>
      <c r="G146" s="97">
        <v>10</v>
      </c>
      <c r="H146" s="97">
        <v>844</v>
      </c>
      <c r="I146" s="97">
        <v>865</v>
      </c>
      <c r="J146" s="97">
        <f t="shared" si="51"/>
        <v>8440</v>
      </c>
      <c r="K146" s="97" t="s">
        <v>340</v>
      </c>
      <c r="L146" s="97" t="e">
        <f t="shared" si="53"/>
        <v>#VALUE!</v>
      </c>
      <c r="M146" s="97" t="e">
        <f t="shared" si="54"/>
        <v>#VALUE!</v>
      </c>
      <c r="N146" s="100" t="e">
        <f t="shared" si="55"/>
        <v>#VALUE!</v>
      </c>
      <c r="V146" s="99">
        <v>45414</v>
      </c>
      <c r="W146" s="97" t="s">
        <v>243</v>
      </c>
      <c r="X146" s="19" t="s">
        <v>139</v>
      </c>
      <c r="Y146" s="97" t="s">
        <v>154</v>
      </c>
      <c r="Z146" s="97" t="s">
        <v>111</v>
      </c>
      <c r="AA146" s="97" t="s">
        <v>123</v>
      </c>
      <c r="AB146" s="97">
        <v>21</v>
      </c>
      <c r="AC146" s="97">
        <v>680</v>
      </c>
      <c r="AD146" s="97">
        <v>1049</v>
      </c>
      <c r="AE146" s="97">
        <f t="shared" si="57"/>
        <v>14280</v>
      </c>
      <c r="AF146" s="97">
        <f t="shared" si="56"/>
        <v>22029</v>
      </c>
      <c r="AG146" s="97">
        <f t="shared" si="58"/>
        <v>7749</v>
      </c>
      <c r="AH146" s="97" t="str">
        <f t="shared" si="59"/>
        <v>profit</v>
      </c>
      <c r="AI146" s="100" t="b">
        <f t="shared" si="60"/>
        <v>0</v>
      </c>
    </row>
    <row r="147" spans="1:35" x14ac:dyDescent="0.3">
      <c r="A147" s="99">
        <v>45511</v>
      </c>
      <c r="B147" s="97" t="s">
        <v>150</v>
      </c>
      <c r="C147" s="19" t="s">
        <v>109</v>
      </c>
      <c r="D147" s="97" t="s">
        <v>131</v>
      </c>
      <c r="E147" s="97" t="s">
        <v>151</v>
      </c>
      <c r="F147" s="97" t="s">
        <v>112</v>
      </c>
      <c r="G147" s="97">
        <v>20</v>
      </c>
      <c r="H147" s="97">
        <v>803</v>
      </c>
      <c r="I147" s="97">
        <v>1377</v>
      </c>
      <c r="J147" s="97">
        <f t="shared" si="51"/>
        <v>16060</v>
      </c>
      <c r="K147" s="97">
        <f t="shared" si="52"/>
        <v>27540</v>
      </c>
      <c r="L147" s="97">
        <f t="shared" si="53"/>
        <v>11480</v>
      </c>
      <c r="M147" s="97" t="str">
        <f t="shared" si="54"/>
        <v>profit</v>
      </c>
      <c r="N147" s="100" t="b">
        <f t="shared" si="55"/>
        <v>0</v>
      </c>
      <c r="V147" s="99">
        <v>45415</v>
      </c>
      <c r="W147" s="97" t="s">
        <v>244</v>
      </c>
      <c r="X147" s="19" t="s">
        <v>139</v>
      </c>
      <c r="Y147" s="97" t="s">
        <v>154</v>
      </c>
      <c r="Z147" s="97" t="s">
        <v>115</v>
      </c>
      <c r="AA147" s="97" t="s">
        <v>123</v>
      </c>
      <c r="AB147" s="97">
        <v>23</v>
      </c>
      <c r="AC147" s="97">
        <v>667</v>
      </c>
      <c r="AD147" s="97">
        <v>962</v>
      </c>
      <c r="AE147" s="97">
        <f t="shared" si="57"/>
        <v>15341</v>
      </c>
      <c r="AF147" s="97">
        <f t="shared" si="56"/>
        <v>22126</v>
      </c>
      <c r="AG147" s="97">
        <f t="shared" si="58"/>
        <v>6785</v>
      </c>
      <c r="AH147" s="97" t="str">
        <f t="shared" si="59"/>
        <v>profit</v>
      </c>
      <c r="AI147" s="100" t="b">
        <f t="shared" si="60"/>
        <v>0</v>
      </c>
    </row>
    <row r="148" spans="1:35" x14ac:dyDescent="0.3">
      <c r="A148" s="99">
        <v>45513</v>
      </c>
      <c r="B148" s="97" t="s">
        <v>152</v>
      </c>
      <c r="C148" s="19" t="s">
        <v>109</v>
      </c>
      <c r="D148" s="97" t="s">
        <v>131</v>
      </c>
      <c r="E148" s="97" t="s">
        <v>133</v>
      </c>
      <c r="F148" s="97" t="s">
        <v>112</v>
      </c>
      <c r="G148" s="97">
        <v>12</v>
      </c>
      <c r="H148" s="97">
        <v>606</v>
      </c>
      <c r="I148" s="97">
        <v>1154</v>
      </c>
      <c r="J148" s="97">
        <f t="shared" si="51"/>
        <v>7272</v>
      </c>
      <c r="K148" s="97">
        <f t="shared" si="52"/>
        <v>13848</v>
      </c>
      <c r="L148" s="97">
        <f t="shared" si="53"/>
        <v>6576</v>
      </c>
      <c r="M148" s="97" t="str">
        <f t="shared" si="54"/>
        <v>profit</v>
      </c>
      <c r="N148" s="100" t="b">
        <f t="shared" si="55"/>
        <v>0</v>
      </c>
      <c r="V148" s="99">
        <v>45416</v>
      </c>
      <c r="W148" s="97" t="s">
        <v>245</v>
      </c>
      <c r="X148" s="19" t="s">
        <v>139</v>
      </c>
      <c r="Y148" s="97" t="s">
        <v>154</v>
      </c>
      <c r="Z148" s="97" t="s">
        <v>118</v>
      </c>
      <c r="AA148" s="97" t="s">
        <v>123</v>
      </c>
      <c r="AB148" s="97">
        <v>24</v>
      </c>
      <c r="AC148" s="97">
        <v>504</v>
      </c>
      <c r="AD148" s="97">
        <v>1283</v>
      </c>
      <c r="AE148" s="97">
        <f t="shared" si="57"/>
        <v>12096</v>
      </c>
      <c r="AF148" s="97">
        <f t="shared" si="56"/>
        <v>30792</v>
      </c>
      <c r="AG148" s="97">
        <f t="shared" si="58"/>
        <v>18696</v>
      </c>
      <c r="AH148" s="97" t="str">
        <f t="shared" si="59"/>
        <v>profit</v>
      </c>
      <c r="AI148" s="100" t="b">
        <f t="shared" si="60"/>
        <v>0</v>
      </c>
    </row>
    <row r="149" spans="1:35" x14ac:dyDescent="0.3">
      <c r="A149" s="99">
        <v>45514</v>
      </c>
      <c r="B149" s="97" t="s">
        <v>156</v>
      </c>
      <c r="C149" s="19" t="s">
        <v>109</v>
      </c>
      <c r="D149" s="97" t="s">
        <v>131</v>
      </c>
      <c r="E149" s="97" t="s">
        <v>133</v>
      </c>
      <c r="F149" s="97" t="s">
        <v>112</v>
      </c>
      <c r="G149" s="97">
        <v>11</v>
      </c>
      <c r="H149" s="97">
        <v>622</v>
      </c>
      <c r="I149" s="97">
        <v>767</v>
      </c>
      <c r="J149" s="97">
        <f t="shared" si="51"/>
        <v>6842</v>
      </c>
      <c r="K149" s="97">
        <f t="shared" si="52"/>
        <v>8437</v>
      </c>
      <c r="L149" s="97">
        <f t="shared" si="53"/>
        <v>1595</v>
      </c>
      <c r="M149" s="97" t="str">
        <f t="shared" si="54"/>
        <v>profit</v>
      </c>
      <c r="N149" s="100" t="b">
        <f t="shared" si="55"/>
        <v>0</v>
      </c>
      <c r="V149" s="99">
        <v>45417</v>
      </c>
      <c r="W149" s="97" t="s">
        <v>246</v>
      </c>
      <c r="X149" s="19" t="s">
        <v>139</v>
      </c>
      <c r="Y149" s="97" t="s">
        <v>154</v>
      </c>
      <c r="Z149" s="97" t="s">
        <v>120</v>
      </c>
      <c r="AA149" s="97" t="s">
        <v>123</v>
      </c>
      <c r="AB149" s="97">
        <v>26</v>
      </c>
      <c r="AC149" s="97">
        <v>985</v>
      </c>
      <c r="AD149" s="97">
        <v>1407</v>
      </c>
      <c r="AE149" s="97">
        <f t="shared" si="57"/>
        <v>25610</v>
      </c>
      <c r="AF149" s="97" t="s">
        <v>340</v>
      </c>
      <c r="AG149" s="97" t="e">
        <f t="shared" si="58"/>
        <v>#VALUE!</v>
      </c>
      <c r="AH149" s="97" t="e">
        <f t="shared" si="59"/>
        <v>#VALUE!</v>
      </c>
      <c r="AI149" s="100" t="e">
        <f t="shared" si="60"/>
        <v>#VALUE!</v>
      </c>
    </row>
    <row r="150" spans="1:35" x14ac:dyDescent="0.3">
      <c r="A150" s="99">
        <v>45515</v>
      </c>
      <c r="B150" s="97" t="s">
        <v>158</v>
      </c>
      <c r="C150" s="19" t="s">
        <v>109</v>
      </c>
      <c r="D150" s="97" t="s">
        <v>131</v>
      </c>
      <c r="E150" s="97" t="s">
        <v>137</v>
      </c>
      <c r="F150" s="97" t="s">
        <v>123</v>
      </c>
      <c r="G150" s="97">
        <v>17</v>
      </c>
      <c r="H150" s="97">
        <v>671</v>
      </c>
      <c r="I150" s="97">
        <v>906</v>
      </c>
      <c r="J150" s="97">
        <f t="shared" si="51"/>
        <v>11407</v>
      </c>
      <c r="K150" s="97">
        <f t="shared" si="52"/>
        <v>15402</v>
      </c>
      <c r="L150" s="97">
        <f t="shared" si="53"/>
        <v>3995</v>
      </c>
      <c r="M150" s="97" t="str">
        <f t="shared" si="54"/>
        <v>profit</v>
      </c>
      <c r="N150" s="100" t="b">
        <f t="shared" si="55"/>
        <v>0</v>
      </c>
      <c r="V150" s="99">
        <v>45418</v>
      </c>
      <c r="W150" s="97" t="s">
        <v>247</v>
      </c>
      <c r="X150" s="19" t="s">
        <v>139</v>
      </c>
      <c r="Y150" s="97" t="s">
        <v>154</v>
      </c>
      <c r="Z150" s="97" t="s">
        <v>120</v>
      </c>
      <c r="AA150" s="97" t="s">
        <v>112</v>
      </c>
      <c r="AB150" s="97">
        <v>27</v>
      </c>
      <c r="AC150" s="97">
        <v>890</v>
      </c>
      <c r="AD150" s="97">
        <v>853</v>
      </c>
      <c r="AE150" s="97">
        <f t="shared" si="57"/>
        <v>24030</v>
      </c>
      <c r="AF150" s="97">
        <f t="shared" ref="AF150:AF213" si="61">AB150*AD150</f>
        <v>23031</v>
      </c>
      <c r="AG150" s="97">
        <f t="shared" si="58"/>
        <v>-999</v>
      </c>
      <c r="AH150" s="97" t="str">
        <f t="shared" si="59"/>
        <v>loss</v>
      </c>
      <c r="AI150" s="100" t="b">
        <f t="shared" si="60"/>
        <v>0</v>
      </c>
    </row>
    <row r="151" spans="1:35" x14ac:dyDescent="0.3">
      <c r="A151" s="99">
        <v>45516</v>
      </c>
      <c r="B151" s="97" t="s">
        <v>159</v>
      </c>
      <c r="C151" s="19" t="s">
        <v>109</v>
      </c>
      <c r="D151" s="97" t="s">
        <v>131</v>
      </c>
      <c r="E151" s="97" t="s">
        <v>122</v>
      </c>
      <c r="F151" s="97" t="s">
        <v>123</v>
      </c>
      <c r="G151" s="97">
        <v>12</v>
      </c>
      <c r="H151" s="97">
        <v>814</v>
      </c>
      <c r="I151" s="97">
        <v>1392</v>
      </c>
      <c r="J151" s="97">
        <f t="shared" si="51"/>
        <v>9768</v>
      </c>
      <c r="K151" s="97" t="s">
        <v>340</v>
      </c>
      <c r="L151" s="97" t="e">
        <f t="shared" si="53"/>
        <v>#VALUE!</v>
      </c>
      <c r="M151" s="97" t="e">
        <f t="shared" si="54"/>
        <v>#VALUE!</v>
      </c>
      <c r="N151" s="100" t="e">
        <f t="shared" si="55"/>
        <v>#VALUE!</v>
      </c>
      <c r="V151" s="99">
        <v>45419</v>
      </c>
      <c r="W151" s="97" t="s">
        <v>250</v>
      </c>
      <c r="X151" s="19" t="s">
        <v>139</v>
      </c>
      <c r="Y151" s="97" t="s">
        <v>205</v>
      </c>
      <c r="Z151" s="97" t="s">
        <v>122</v>
      </c>
      <c r="AA151" s="97" t="s">
        <v>112</v>
      </c>
      <c r="AB151" s="97">
        <v>21</v>
      </c>
      <c r="AC151" s="97">
        <v>722</v>
      </c>
      <c r="AD151" s="97">
        <v>1247</v>
      </c>
      <c r="AE151" s="97">
        <f t="shared" si="57"/>
        <v>15162</v>
      </c>
      <c r="AF151" s="97">
        <f t="shared" si="61"/>
        <v>26187</v>
      </c>
      <c r="AG151" s="97">
        <f t="shared" si="58"/>
        <v>11025</v>
      </c>
      <c r="AH151" s="97" t="str">
        <f t="shared" si="59"/>
        <v>profit</v>
      </c>
      <c r="AI151" s="100" t="b">
        <f t="shared" si="60"/>
        <v>0</v>
      </c>
    </row>
    <row r="152" spans="1:35" x14ac:dyDescent="0.3">
      <c r="A152" s="99">
        <v>45543</v>
      </c>
      <c r="B152" s="97" t="s">
        <v>160</v>
      </c>
      <c r="C152" s="19" t="s">
        <v>109</v>
      </c>
      <c r="D152" s="97" t="s">
        <v>131</v>
      </c>
      <c r="E152" s="97" t="s">
        <v>161</v>
      </c>
      <c r="F152" s="97" t="s">
        <v>123</v>
      </c>
      <c r="G152" s="97">
        <v>11</v>
      </c>
      <c r="H152" s="97">
        <v>960</v>
      </c>
      <c r="I152" s="97">
        <v>939</v>
      </c>
      <c r="J152" s="97">
        <f t="shared" si="51"/>
        <v>10560</v>
      </c>
      <c r="K152" s="97">
        <f t="shared" si="52"/>
        <v>10329</v>
      </c>
      <c r="L152" s="97">
        <f t="shared" si="53"/>
        <v>-231</v>
      </c>
      <c r="M152" s="97" t="str">
        <f t="shared" si="54"/>
        <v>loss</v>
      </c>
      <c r="N152" s="100" t="b">
        <f t="shared" si="55"/>
        <v>0</v>
      </c>
      <c r="V152" s="99">
        <v>45420</v>
      </c>
      <c r="W152" s="97" t="s">
        <v>251</v>
      </c>
      <c r="X152" s="19" t="s">
        <v>139</v>
      </c>
      <c r="Y152" s="97" t="s">
        <v>205</v>
      </c>
      <c r="Z152" s="97" t="s">
        <v>125</v>
      </c>
      <c r="AA152" s="97" t="s">
        <v>112</v>
      </c>
      <c r="AB152" s="97">
        <v>22</v>
      </c>
      <c r="AC152" s="97">
        <v>725</v>
      </c>
      <c r="AD152" s="97">
        <v>765</v>
      </c>
      <c r="AE152" s="97">
        <f t="shared" si="57"/>
        <v>15950</v>
      </c>
      <c r="AF152" s="97">
        <f t="shared" si="61"/>
        <v>16830</v>
      </c>
      <c r="AG152" s="97">
        <f t="shared" si="58"/>
        <v>880</v>
      </c>
      <c r="AH152" s="97" t="str">
        <f t="shared" si="59"/>
        <v>profit</v>
      </c>
      <c r="AI152" s="100" t="b">
        <f t="shared" si="60"/>
        <v>0</v>
      </c>
    </row>
    <row r="153" spans="1:35" x14ac:dyDescent="0.3">
      <c r="A153" s="99">
        <v>45535</v>
      </c>
      <c r="B153" s="97" t="s">
        <v>211</v>
      </c>
      <c r="C153" s="19" t="s">
        <v>127</v>
      </c>
      <c r="D153" s="97" t="s">
        <v>186</v>
      </c>
      <c r="E153" s="97" t="s">
        <v>115</v>
      </c>
      <c r="F153" s="97" t="s">
        <v>123</v>
      </c>
      <c r="G153" s="97">
        <v>89</v>
      </c>
      <c r="H153" s="97">
        <v>910</v>
      </c>
      <c r="I153" s="97">
        <v>1261</v>
      </c>
      <c r="J153" s="97">
        <f t="shared" si="51"/>
        <v>80990</v>
      </c>
      <c r="K153" s="97">
        <f t="shared" si="52"/>
        <v>112229</v>
      </c>
      <c r="L153" s="97">
        <f t="shared" si="53"/>
        <v>31239</v>
      </c>
      <c r="M153" s="97" t="str">
        <f t="shared" si="54"/>
        <v>profit</v>
      </c>
      <c r="N153" s="100" t="b">
        <f t="shared" si="55"/>
        <v>1</v>
      </c>
      <c r="V153" s="99">
        <v>45421</v>
      </c>
      <c r="W153" s="97" t="s">
        <v>253</v>
      </c>
      <c r="X153" s="19" t="s">
        <v>139</v>
      </c>
      <c r="Y153" s="97" t="s">
        <v>205</v>
      </c>
      <c r="Z153" s="97" t="s">
        <v>120</v>
      </c>
      <c r="AA153" s="97" t="s">
        <v>112</v>
      </c>
      <c r="AB153" s="97">
        <v>26</v>
      </c>
      <c r="AC153" s="97">
        <v>509</v>
      </c>
      <c r="AD153" s="97">
        <v>1120</v>
      </c>
      <c r="AE153" s="97">
        <f t="shared" si="57"/>
        <v>13234</v>
      </c>
      <c r="AF153" s="97">
        <f t="shared" si="61"/>
        <v>29120</v>
      </c>
      <c r="AG153" s="97">
        <f t="shared" si="58"/>
        <v>15886</v>
      </c>
      <c r="AH153" s="97" t="str">
        <f t="shared" si="59"/>
        <v>profit</v>
      </c>
      <c r="AI153" s="100" t="b">
        <f t="shared" si="60"/>
        <v>0</v>
      </c>
    </row>
    <row r="154" spans="1:35" x14ac:dyDescent="0.3">
      <c r="A154" s="99">
        <v>45544</v>
      </c>
      <c r="B154" s="97" t="s">
        <v>162</v>
      </c>
      <c r="C154" s="19" t="s">
        <v>109</v>
      </c>
      <c r="D154" s="97" t="s">
        <v>131</v>
      </c>
      <c r="E154" s="97" t="s">
        <v>137</v>
      </c>
      <c r="F154" s="97" t="s">
        <v>123</v>
      </c>
      <c r="G154" s="97">
        <v>10</v>
      </c>
      <c r="H154" s="97">
        <v>654</v>
      </c>
      <c r="I154" s="97">
        <v>1029</v>
      </c>
      <c r="J154" s="97">
        <f t="shared" si="51"/>
        <v>6540</v>
      </c>
      <c r="K154" s="97">
        <f t="shared" si="52"/>
        <v>10290</v>
      </c>
      <c r="L154" s="97">
        <f t="shared" si="53"/>
        <v>3750</v>
      </c>
      <c r="M154" s="97" t="str">
        <f t="shared" si="54"/>
        <v>profit</v>
      </c>
      <c r="N154" s="100" t="b">
        <f t="shared" si="55"/>
        <v>0</v>
      </c>
      <c r="V154" s="99">
        <v>45389</v>
      </c>
      <c r="W154" s="97" t="s">
        <v>126</v>
      </c>
      <c r="X154" s="19" t="s">
        <v>127</v>
      </c>
      <c r="Y154" s="97" t="s">
        <v>128</v>
      </c>
      <c r="Z154" s="97" t="s">
        <v>129</v>
      </c>
      <c r="AA154" s="97" t="s">
        <v>123</v>
      </c>
      <c r="AB154" s="97">
        <v>55</v>
      </c>
      <c r="AC154" s="97">
        <v>906</v>
      </c>
      <c r="AD154" s="97">
        <v>880</v>
      </c>
      <c r="AE154" s="97">
        <f t="shared" si="57"/>
        <v>49830</v>
      </c>
      <c r="AF154" s="97">
        <f t="shared" si="61"/>
        <v>48400</v>
      </c>
      <c r="AG154" s="97">
        <f t="shared" si="58"/>
        <v>-1430</v>
      </c>
      <c r="AH154" s="97" t="str">
        <f t="shared" si="59"/>
        <v>loss</v>
      </c>
      <c r="AI154" s="100" t="b">
        <f t="shared" si="60"/>
        <v>0</v>
      </c>
    </row>
    <row r="155" spans="1:35" x14ac:dyDescent="0.3">
      <c r="A155" s="99">
        <v>45545</v>
      </c>
      <c r="B155" s="97" t="s">
        <v>163</v>
      </c>
      <c r="C155" s="19" t="s">
        <v>109</v>
      </c>
      <c r="D155" s="97" t="s">
        <v>131</v>
      </c>
      <c r="E155" s="97" t="s">
        <v>120</v>
      </c>
      <c r="F155" s="97" t="s">
        <v>123</v>
      </c>
      <c r="G155" s="97">
        <v>14</v>
      </c>
      <c r="H155" s="97">
        <v>504</v>
      </c>
      <c r="I155" s="97">
        <v>1130</v>
      </c>
      <c r="J155" s="97">
        <f t="shared" si="51"/>
        <v>7056</v>
      </c>
      <c r="K155" s="97">
        <f t="shared" si="52"/>
        <v>15820</v>
      </c>
      <c r="L155" s="97">
        <f t="shared" si="53"/>
        <v>8764</v>
      </c>
      <c r="M155" s="97" t="str">
        <f t="shared" si="54"/>
        <v>profit</v>
      </c>
      <c r="N155" s="100" t="b">
        <f t="shared" si="55"/>
        <v>0</v>
      </c>
      <c r="V155" s="99">
        <v>45422</v>
      </c>
      <c r="W155" s="97" t="s">
        <v>254</v>
      </c>
      <c r="X155" s="19" t="s">
        <v>139</v>
      </c>
      <c r="Y155" s="97" t="s">
        <v>205</v>
      </c>
      <c r="Z155" s="97" t="s">
        <v>166</v>
      </c>
      <c r="AA155" s="97" t="s">
        <v>112</v>
      </c>
      <c r="AB155" s="97">
        <v>28</v>
      </c>
      <c r="AC155" s="97">
        <v>905</v>
      </c>
      <c r="AD155" s="97">
        <v>958</v>
      </c>
      <c r="AE155" s="97">
        <f t="shared" si="57"/>
        <v>25340</v>
      </c>
      <c r="AF155" s="97">
        <f t="shared" si="61"/>
        <v>26824</v>
      </c>
      <c r="AG155" s="97">
        <f t="shared" si="58"/>
        <v>1484</v>
      </c>
      <c r="AH155" s="97" t="str">
        <f t="shared" si="59"/>
        <v>profit</v>
      </c>
      <c r="AI155" s="100" t="b">
        <f t="shared" si="60"/>
        <v>1</v>
      </c>
    </row>
    <row r="156" spans="1:35" x14ac:dyDescent="0.3">
      <c r="A156" s="99">
        <v>45546</v>
      </c>
      <c r="B156" s="97" t="s">
        <v>164</v>
      </c>
      <c r="C156" s="19" t="s">
        <v>109</v>
      </c>
      <c r="D156" s="97" t="s">
        <v>131</v>
      </c>
      <c r="E156" s="97" t="s">
        <v>155</v>
      </c>
      <c r="F156" s="97" t="s">
        <v>123</v>
      </c>
      <c r="G156" s="97">
        <v>12</v>
      </c>
      <c r="H156" s="97">
        <v>886</v>
      </c>
      <c r="I156" s="97">
        <v>1233</v>
      </c>
      <c r="J156" s="97">
        <f t="shared" si="51"/>
        <v>10632</v>
      </c>
      <c r="K156" s="97" t="s">
        <v>340</v>
      </c>
      <c r="L156" s="97" t="e">
        <f t="shared" si="53"/>
        <v>#VALUE!</v>
      </c>
      <c r="M156" s="97" t="e">
        <f t="shared" si="54"/>
        <v>#VALUE!</v>
      </c>
      <c r="N156" s="100" t="e">
        <f t="shared" si="55"/>
        <v>#VALUE!</v>
      </c>
      <c r="V156" s="99">
        <v>45423</v>
      </c>
      <c r="W156" s="97" t="s">
        <v>255</v>
      </c>
      <c r="X156" s="19" t="s">
        <v>139</v>
      </c>
      <c r="Y156" s="97" t="s">
        <v>205</v>
      </c>
      <c r="Z156" s="97" t="s">
        <v>161</v>
      </c>
      <c r="AA156" s="97" t="s">
        <v>112</v>
      </c>
      <c r="AB156" s="97">
        <v>22</v>
      </c>
      <c r="AC156" s="97">
        <v>866</v>
      </c>
      <c r="AD156" s="97">
        <v>1453</v>
      </c>
      <c r="AE156" s="97">
        <f t="shared" si="57"/>
        <v>19052</v>
      </c>
      <c r="AF156" s="97">
        <f t="shared" si="61"/>
        <v>31966</v>
      </c>
      <c r="AG156" s="97">
        <f t="shared" si="58"/>
        <v>12914</v>
      </c>
      <c r="AH156" s="97" t="str">
        <f t="shared" si="59"/>
        <v>profit</v>
      </c>
      <c r="AI156" s="100" t="b">
        <f t="shared" si="60"/>
        <v>0</v>
      </c>
    </row>
    <row r="157" spans="1:35" x14ac:dyDescent="0.3">
      <c r="A157" s="99">
        <v>45547</v>
      </c>
      <c r="B157" s="97" t="s">
        <v>165</v>
      </c>
      <c r="C157" s="19" t="s">
        <v>109</v>
      </c>
      <c r="D157" s="97" t="s">
        <v>131</v>
      </c>
      <c r="E157" s="97" t="s">
        <v>166</v>
      </c>
      <c r="F157" s="97" t="s">
        <v>112</v>
      </c>
      <c r="G157" s="97">
        <v>10</v>
      </c>
      <c r="H157" s="97">
        <v>554</v>
      </c>
      <c r="I157" s="97">
        <v>1210</v>
      </c>
      <c r="J157" s="97">
        <f t="shared" si="51"/>
        <v>5540</v>
      </c>
      <c r="K157" s="97">
        <f t="shared" si="52"/>
        <v>12100</v>
      </c>
      <c r="L157" s="97">
        <f t="shared" si="53"/>
        <v>6560</v>
      </c>
      <c r="M157" s="97" t="str">
        <f t="shared" si="54"/>
        <v>profit</v>
      </c>
      <c r="N157" s="100" t="b">
        <f t="shared" si="55"/>
        <v>0</v>
      </c>
      <c r="V157" s="99">
        <v>45424</v>
      </c>
      <c r="W157" s="97" t="s">
        <v>256</v>
      </c>
      <c r="X157" s="19" t="s">
        <v>139</v>
      </c>
      <c r="Y157" s="97" t="s">
        <v>205</v>
      </c>
      <c r="Z157" s="97" t="s">
        <v>137</v>
      </c>
      <c r="AA157" s="97" t="s">
        <v>112</v>
      </c>
      <c r="AB157" s="97">
        <v>23</v>
      </c>
      <c r="AC157" s="97">
        <v>816</v>
      </c>
      <c r="AD157" s="97">
        <v>1273</v>
      </c>
      <c r="AE157" s="97">
        <f t="shared" si="57"/>
        <v>18768</v>
      </c>
      <c r="AF157" s="97">
        <f t="shared" si="61"/>
        <v>29279</v>
      </c>
      <c r="AG157" s="97">
        <f t="shared" si="58"/>
        <v>10511</v>
      </c>
      <c r="AH157" s="97" t="str">
        <f t="shared" si="59"/>
        <v>profit</v>
      </c>
      <c r="AI157" s="100" t="b">
        <f t="shared" si="60"/>
        <v>0</v>
      </c>
    </row>
    <row r="158" spans="1:35" x14ac:dyDescent="0.3">
      <c r="A158" s="99">
        <v>45540</v>
      </c>
      <c r="B158" s="97" t="s">
        <v>212</v>
      </c>
      <c r="C158" s="19" t="s">
        <v>127</v>
      </c>
      <c r="D158" s="97" t="s">
        <v>207</v>
      </c>
      <c r="E158" s="97" t="s">
        <v>125</v>
      </c>
      <c r="F158" s="97" t="s">
        <v>112</v>
      </c>
      <c r="G158" s="97">
        <v>59</v>
      </c>
      <c r="H158" s="97">
        <v>764</v>
      </c>
      <c r="I158" s="97">
        <v>1365</v>
      </c>
      <c r="J158" s="97">
        <f t="shared" si="51"/>
        <v>45076</v>
      </c>
      <c r="K158" s="97">
        <f t="shared" si="52"/>
        <v>80535</v>
      </c>
      <c r="L158" s="97">
        <f t="shared" si="53"/>
        <v>35459</v>
      </c>
      <c r="M158" s="97" t="str">
        <f t="shared" si="54"/>
        <v>profit</v>
      </c>
      <c r="N158" s="100" t="b">
        <f t="shared" si="55"/>
        <v>1</v>
      </c>
      <c r="V158" s="99">
        <v>45425</v>
      </c>
      <c r="W158" s="97" t="s">
        <v>258</v>
      </c>
      <c r="X158" s="19" t="s">
        <v>139</v>
      </c>
      <c r="Y158" s="97" t="s">
        <v>205</v>
      </c>
      <c r="Z158" s="97" t="s">
        <v>120</v>
      </c>
      <c r="AA158" s="97" t="s">
        <v>112</v>
      </c>
      <c r="AB158" s="97">
        <v>30</v>
      </c>
      <c r="AC158" s="97">
        <v>738</v>
      </c>
      <c r="AD158" s="97">
        <v>1216</v>
      </c>
      <c r="AE158" s="97">
        <f t="shared" si="57"/>
        <v>22140</v>
      </c>
      <c r="AF158" s="97">
        <f t="shared" si="61"/>
        <v>36480</v>
      </c>
      <c r="AG158" s="97">
        <f t="shared" si="58"/>
        <v>14340</v>
      </c>
      <c r="AH158" s="97" t="str">
        <f t="shared" si="59"/>
        <v>profit</v>
      </c>
      <c r="AI158" s="100" t="b">
        <f t="shared" si="60"/>
        <v>1</v>
      </c>
    </row>
    <row r="159" spans="1:35" x14ac:dyDescent="0.3">
      <c r="A159" s="99">
        <v>45548</v>
      </c>
      <c r="B159" s="97" t="s">
        <v>167</v>
      </c>
      <c r="C159" s="19" t="s">
        <v>109</v>
      </c>
      <c r="D159" s="97" t="s">
        <v>131</v>
      </c>
      <c r="E159" s="97" t="s">
        <v>168</v>
      </c>
      <c r="F159" s="97" t="s">
        <v>112</v>
      </c>
      <c r="G159" s="97">
        <v>14</v>
      </c>
      <c r="H159" s="97">
        <v>933</v>
      </c>
      <c r="I159" s="97">
        <v>1064</v>
      </c>
      <c r="J159" s="97">
        <f t="shared" si="51"/>
        <v>13062</v>
      </c>
      <c r="K159" s="97">
        <f t="shared" si="52"/>
        <v>14896</v>
      </c>
      <c r="L159" s="97">
        <f t="shared" si="53"/>
        <v>1834</v>
      </c>
      <c r="M159" s="97" t="str">
        <f t="shared" si="54"/>
        <v>profit</v>
      </c>
      <c r="N159" s="100" t="b">
        <f t="shared" si="55"/>
        <v>0</v>
      </c>
      <c r="V159" s="99">
        <v>45426</v>
      </c>
      <c r="W159" s="97" t="s">
        <v>259</v>
      </c>
      <c r="X159" s="19" t="s">
        <v>139</v>
      </c>
      <c r="Y159" s="97" t="s">
        <v>205</v>
      </c>
      <c r="Z159" s="97" t="s">
        <v>155</v>
      </c>
      <c r="AA159" s="97" t="s">
        <v>112</v>
      </c>
      <c r="AB159" s="97">
        <v>24</v>
      </c>
      <c r="AC159" s="97">
        <v>653</v>
      </c>
      <c r="AD159" s="97">
        <v>1293</v>
      </c>
      <c r="AE159" s="97">
        <f t="shared" si="57"/>
        <v>15672</v>
      </c>
      <c r="AF159" s="97">
        <f t="shared" si="61"/>
        <v>31032</v>
      </c>
      <c r="AG159" s="97">
        <f t="shared" si="58"/>
        <v>15360</v>
      </c>
      <c r="AH159" s="97" t="str">
        <f t="shared" si="59"/>
        <v>profit</v>
      </c>
      <c r="AI159" s="100" t="b">
        <f t="shared" si="60"/>
        <v>0</v>
      </c>
    </row>
    <row r="160" spans="1:35" x14ac:dyDescent="0.3">
      <c r="A160" s="99">
        <v>45550</v>
      </c>
      <c r="B160" s="97" t="s">
        <v>169</v>
      </c>
      <c r="C160" s="19" t="s">
        <v>109</v>
      </c>
      <c r="D160" s="97" t="s">
        <v>131</v>
      </c>
      <c r="E160" s="97" t="s">
        <v>137</v>
      </c>
      <c r="F160" s="97" t="s">
        <v>112</v>
      </c>
      <c r="G160" s="97">
        <v>15</v>
      </c>
      <c r="H160" s="97">
        <v>674</v>
      </c>
      <c r="I160" s="97">
        <v>1125</v>
      </c>
      <c r="J160" s="97">
        <f t="shared" si="51"/>
        <v>10110</v>
      </c>
      <c r="K160" s="97" t="s">
        <v>340</v>
      </c>
      <c r="L160" s="97" t="e">
        <f t="shared" si="53"/>
        <v>#VALUE!</v>
      </c>
      <c r="M160" s="97" t="e">
        <f t="shared" si="54"/>
        <v>#VALUE!</v>
      </c>
      <c r="N160" s="100" t="e">
        <f t="shared" si="55"/>
        <v>#VALUE!</v>
      </c>
      <c r="V160" s="99">
        <v>45395</v>
      </c>
      <c r="W160" s="97" t="s">
        <v>138</v>
      </c>
      <c r="X160" s="19" t="s">
        <v>139</v>
      </c>
      <c r="Y160" s="97" t="s">
        <v>140</v>
      </c>
      <c r="Z160" s="97" t="s">
        <v>137</v>
      </c>
      <c r="AA160" s="97" t="s">
        <v>112</v>
      </c>
      <c r="AB160" s="97">
        <v>22</v>
      </c>
      <c r="AC160" s="97">
        <v>692</v>
      </c>
      <c r="AD160" s="97">
        <v>906</v>
      </c>
      <c r="AE160" s="97">
        <f t="shared" si="57"/>
        <v>15224</v>
      </c>
      <c r="AF160" s="97">
        <f t="shared" si="61"/>
        <v>19932</v>
      </c>
      <c r="AG160" s="97">
        <f t="shared" si="58"/>
        <v>4708</v>
      </c>
      <c r="AH160" s="97" t="str">
        <f t="shared" si="59"/>
        <v>profit</v>
      </c>
      <c r="AI160" s="100" t="b">
        <f t="shared" si="60"/>
        <v>0</v>
      </c>
    </row>
    <row r="161" spans="1:35" x14ac:dyDescent="0.3">
      <c r="A161" s="99">
        <v>45551</v>
      </c>
      <c r="B161" s="97" t="s">
        <v>170</v>
      </c>
      <c r="C161" s="19" t="s">
        <v>109</v>
      </c>
      <c r="D161" s="97" t="s">
        <v>131</v>
      </c>
      <c r="E161" s="97" t="s">
        <v>151</v>
      </c>
      <c r="F161" s="97" t="s">
        <v>112</v>
      </c>
      <c r="G161" s="97">
        <v>20</v>
      </c>
      <c r="H161" s="97">
        <v>529</v>
      </c>
      <c r="I161" s="97">
        <v>1455</v>
      </c>
      <c r="J161" s="97">
        <f t="shared" si="51"/>
        <v>10580</v>
      </c>
      <c r="K161" s="97">
        <f t="shared" si="52"/>
        <v>29100</v>
      </c>
      <c r="L161" s="97">
        <f t="shared" si="53"/>
        <v>18520</v>
      </c>
      <c r="M161" s="97" t="str">
        <f t="shared" si="54"/>
        <v>profit</v>
      </c>
      <c r="N161" s="100" t="b">
        <f t="shared" si="55"/>
        <v>0</v>
      </c>
      <c r="V161" s="99">
        <v>45427</v>
      </c>
      <c r="W161" s="97" t="s">
        <v>260</v>
      </c>
      <c r="X161" s="19" t="s">
        <v>139</v>
      </c>
      <c r="Y161" s="97" t="s">
        <v>205</v>
      </c>
      <c r="Z161" s="97" t="s">
        <v>166</v>
      </c>
      <c r="AA161" s="97" t="s">
        <v>112</v>
      </c>
      <c r="AB161" s="97">
        <v>30</v>
      </c>
      <c r="AC161" s="97">
        <v>583</v>
      </c>
      <c r="AD161" s="97">
        <v>1500</v>
      </c>
      <c r="AE161" s="97">
        <f t="shared" si="57"/>
        <v>17490</v>
      </c>
      <c r="AF161" s="97">
        <f t="shared" si="61"/>
        <v>45000</v>
      </c>
      <c r="AG161" s="97">
        <f t="shared" si="58"/>
        <v>27510</v>
      </c>
      <c r="AH161" s="97" t="str">
        <f t="shared" si="59"/>
        <v>profit</v>
      </c>
      <c r="AI161" s="100" t="b">
        <f t="shared" si="60"/>
        <v>0</v>
      </c>
    </row>
    <row r="162" spans="1:35" x14ac:dyDescent="0.3">
      <c r="A162" s="99">
        <v>45552</v>
      </c>
      <c r="B162" s="97" t="s">
        <v>171</v>
      </c>
      <c r="C162" s="19" t="s">
        <v>109</v>
      </c>
      <c r="D162" s="97" t="s">
        <v>131</v>
      </c>
      <c r="E162" s="97" t="s">
        <v>129</v>
      </c>
      <c r="F162" s="97" t="s">
        <v>112</v>
      </c>
      <c r="G162" s="97">
        <v>18</v>
      </c>
      <c r="H162" s="97">
        <v>717</v>
      </c>
      <c r="I162" s="97">
        <v>833</v>
      </c>
      <c r="J162" s="97">
        <f t="shared" si="51"/>
        <v>12906</v>
      </c>
      <c r="K162" s="97">
        <f t="shared" si="52"/>
        <v>14994</v>
      </c>
      <c r="L162" s="97">
        <f t="shared" si="53"/>
        <v>2088</v>
      </c>
      <c r="M162" s="97" t="str">
        <f t="shared" si="54"/>
        <v>profit</v>
      </c>
      <c r="N162" s="100" t="b">
        <f t="shared" si="55"/>
        <v>0</v>
      </c>
      <c r="V162" s="99">
        <v>45428</v>
      </c>
      <c r="W162" s="97" t="s">
        <v>262</v>
      </c>
      <c r="X162" s="19" t="s">
        <v>139</v>
      </c>
      <c r="Y162" s="97" t="s">
        <v>205</v>
      </c>
      <c r="Z162" s="97" t="s">
        <v>168</v>
      </c>
      <c r="AA162" s="97" t="s">
        <v>123</v>
      </c>
      <c r="AB162" s="97">
        <v>26</v>
      </c>
      <c r="AC162" s="97">
        <v>1000</v>
      </c>
      <c r="AD162" s="97">
        <v>765</v>
      </c>
      <c r="AE162" s="97">
        <f t="shared" si="57"/>
        <v>26000</v>
      </c>
      <c r="AF162" s="97">
        <f t="shared" si="61"/>
        <v>19890</v>
      </c>
      <c r="AG162" s="97">
        <f t="shared" si="58"/>
        <v>-6110</v>
      </c>
      <c r="AH162" s="97" t="str">
        <f t="shared" si="59"/>
        <v>loss</v>
      </c>
      <c r="AI162" s="100" t="b">
        <f t="shared" si="60"/>
        <v>0</v>
      </c>
    </row>
    <row r="163" spans="1:35" x14ac:dyDescent="0.3">
      <c r="A163" s="99">
        <v>45553</v>
      </c>
      <c r="B163" s="97" t="s">
        <v>172</v>
      </c>
      <c r="C163" s="19" t="s">
        <v>109</v>
      </c>
      <c r="D163" s="97" t="s">
        <v>131</v>
      </c>
      <c r="E163" s="97" t="s">
        <v>133</v>
      </c>
      <c r="F163" s="97" t="s">
        <v>112</v>
      </c>
      <c r="G163" s="97">
        <v>17</v>
      </c>
      <c r="H163" s="97">
        <v>966</v>
      </c>
      <c r="I163" s="97">
        <v>1044</v>
      </c>
      <c r="J163" s="97">
        <f t="shared" si="51"/>
        <v>16422</v>
      </c>
      <c r="K163" s="97">
        <f t="shared" si="52"/>
        <v>17748</v>
      </c>
      <c r="L163" s="97">
        <f t="shared" si="53"/>
        <v>1326</v>
      </c>
      <c r="M163" s="97" t="str">
        <f t="shared" si="54"/>
        <v>profit</v>
      </c>
      <c r="N163" s="100" t="b">
        <f t="shared" si="55"/>
        <v>0</v>
      </c>
      <c r="V163" s="99">
        <v>45429</v>
      </c>
      <c r="W163" s="97" t="s">
        <v>264</v>
      </c>
      <c r="X163" s="19" t="s">
        <v>139</v>
      </c>
      <c r="Y163" s="97" t="s">
        <v>205</v>
      </c>
      <c r="Z163" s="97" t="s">
        <v>129</v>
      </c>
      <c r="AA163" s="97" t="s">
        <v>123</v>
      </c>
      <c r="AB163" s="97">
        <v>27</v>
      </c>
      <c r="AC163" s="97">
        <v>913</v>
      </c>
      <c r="AD163" s="97">
        <v>1197</v>
      </c>
      <c r="AE163" s="97">
        <f t="shared" si="57"/>
        <v>24651</v>
      </c>
      <c r="AF163" s="97">
        <f t="shared" si="61"/>
        <v>32319</v>
      </c>
      <c r="AG163" s="97">
        <f t="shared" si="58"/>
        <v>7668</v>
      </c>
      <c r="AH163" s="97" t="str">
        <f t="shared" si="59"/>
        <v>profit</v>
      </c>
      <c r="AI163" s="100" t="b">
        <f t="shared" si="60"/>
        <v>1</v>
      </c>
    </row>
    <row r="164" spans="1:35" x14ac:dyDescent="0.3">
      <c r="A164" s="99">
        <v>45562</v>
      </c>
      <c r="B164" s="97" t="s">
        <v>173</v>
      </c>
      <c r="C164" s="19" t="s">
        <v>109</v>
      </c>
      <c r="D164" s="97" t="s">
        <v>110</v>
      </c>
      <c r="E164" s="97" t="s">
        <v>129</v>
      </c>
      <c r="F164" s="97" t="s">
        <v>123</v>
      </c>
      <c r="G164" s="97">
        <v>16</v>
      </c>
      <c r="H164" s="97">
        <v>599</v>
      </c>
      <c r="I164" s="97">
        <v>1490</v>
      </c>
      <c r="J164" s="97">
        <f t="shared" si="51"/>
        <v>9584</v>
      </c>
      <c r="K164" s="97">
        <f t="shared" si="52"/>
        <v>23840</v>
      </c>
      <c r="L164" s="97">
        <f t="shared" si="53"/>
        <v>14256</v>
      </c>
      <c r="M164" s="97" t="str">
        <f t="shared" si="54"/>
        <v>profit</v>
      </c>
      <c r="N164" s="100" t="b">
        <f t="shared" si="55"/>
        <v>0</v>
      </c>
      <c r="V164" s="99">
        <v>45430</v>
      </c>
      <c r="W164" s="97" t="s">
        <v>265</v>
      </c>
      <c r="X164" s="19" t="s">
        <v>139</v>
      </c>
      <c r="Y164" s="97" t="s">
        <v>205</v>
      </c>
      <c r="Z164" s="97" t="s">
        <v>137</v>
      </c>
      <c r="AA164" s="97" t="s">
        <v>123</v>
      </c>
      <c r="AB164" s="97">
        <v>29</v>
      </c>
      <c r="AC164" s="97">
        <v>735</v>
      </c>
      <c r="AD164" s="97">
        <v>1388</v>
      </c>
      <c r="AE164" s="97">
        <f t="shared" si="57"/>
        <v>21315</v>
      </c>
      <c r="AF164" s="97">
        <f t="shared" si="61"/>
        <v>40252</v>
      </c>
      <c r="AG164" s="97">
        <f t="shared" si="58"/>
        <v>18937</v>
      </c>
      <c r="AH164" s="97" t="str">
        <f t="shared" si="59"/>
        <v>profit</v>
      </c>
      <c r="AI164" s="100" t="b">
        <f t="shared" si="60"/>
        <v>1</v>
      </c>
    </row>
    <row r="165" spans="1:35" x14ac:dyDescent="0.3">
      <c r="A165" s="99">
        <v>45564</v>
      </c>
      <c r="B165" s="97" t="s">
        <v>174</v>
      </c>
      <c r="C165" s="19" t="s">
        <v>109</v>
      </c>
      <c r="D165" s="97" t="s">
        <v>110</v>
      </c>
      <c r="E165" s="97" t="s">
        <v>133</v>
      </c>
      <c r="F165" s="97" t="s">
        <v>112</v>
      </c>
      <c r="G165" s="97">
        <v>12</v>
      </c>
      <c r="H165" s="97">
        <v>827</v>
      </c>
      <c r="I165" s="97">
        <v>955</v>
      </c>
      <c r="J165" s="97">
        <f t="shared" si="51"/>
        <v>9924</v>
      </c>
      <c r="K165" s="97" t="s">
        <v>340</v>
      </c>
      <c r="L165" s="97" t="e">
        <f t="shared" si="53"/>
        <v>#VALUE!</v>
      </c>
      <c r="M165" s="97" t="e">
        <f t="shared" si="54"/>
        <v>#VALUE!</v>
      </c>
      <c r="N165" s="100" t="e">
        <f t="shared" si="55"/>
        <v>#VALUE!</v>
      </c>
      <c r="V165" s="99">
        <v>45484</v>
      </c>
      <c r="W165" s="97" t="s">
        <v>266</v>
      </c>
      <c r="X165" s="19" t="s">
        <v>139</v>
      </c>
      <c r="Y165" s="97" t="s">
        <v>205</v>
      </c>
      <c r="Z165" s="97" t="s">
        <v>133</v>
      </c>
      <c r="AA165" s="97" t="s">
        <v>123</v>
      </c>
      <c r="AB165" s="97">
        <v>29</v>
      </c>
      <c r="AC165" s="97">
        <v>965</v>
      </c>
      <c r="AD165" s="97">
        <v>1195</v>
      </c>
      <c r="AE165" s="97">
        <f t="shared" si="57"/>
        <v>27985</v>
      </c>
      <c r="AF165" s="97">
        <f t="shared" si="61"/>
        <v>34655</v>
      </c>
      <c r="AG165" s="97">
        <f t="shared" si="58"/>
        <v>6670</v>
      </c>
      <c r="AH165" s="97" t="str">
        <f t="shared" si="59"/>
        <v>profit</v>
      </c>
      <c r="AI165" s="100" t="b">
        <f t="shared" si="60"/>
        <v>1</v>
      </c>
    </row>
    <row r="166" spans="1:35" x14ac:dyDescent="0.3">
      <c r="A166" s="99">
        <v>45566</v>
      </c>
      <c r="B166" s="97" t="s">
        <v>175</v>
      </c>
      <c r="C166" s="19" t="s">
        <v>109</v>
      </c>
      <c r="D166" s="97" t="s">
        <v>110</v>
      </c>
      <c r="E166" s="97" t="s">
        <v>155</v>
      </c>
      <c r="F166" s="97" t="s">
        <v>112</v>
      </c>
      <c r="G166" s="97">
        <v>17</v>
      </c>
      <c r="H166" s="97">
        <v>932</v>
      </c>
      <c r="I166" s="97">
        <v>808</v>
      </c>
      <c r="J166" s="97">
        <f t="shared" si="51"/>
        <v>15844</v>
      </c>
      <c r="K166" s="97">
        <f t="shared" si="52"/>
        <v>13736</v>
      </c>
      <c r="L166" s="97">
        <f t="shared" si="53"/>
        <v>-2108</v>
      </c>
      <c r="M166" s="97" t="str">
        <f t="shared" si="54"/>
        <v>loss</v>
      </c>
      <c r="N166" s="100" t="b">
        <f t="shared" si="55"/>
        <v>0</v>
      </c>
      <c r="V166" s="99">
        <v>45485</v>
      </c>
      <c r="W166" s="97" t="s">
        <v>267</v>
      </c>
      <c r="X166" s="19" t="s">
        <v>139</v>
      </c>
      <c r="Y166" s="97" t="s">
        <v>205</v>
      </c>
      <c r="Z166" s="97" t="s">
        <v>155</v>
      </c>
      <c r="AA166" s="97" t="s">
        <v>123</v>
      </c>
      <c r="AB166" s="97">
        <v>24</v>
      </c>
      <c r="AC166" s="97">
        <v>970</v>
      </c>
      <c r="AD166" s="97">
        <v>1256</v>
      </c>
      <c r="AE166" s="97">
        <f t="shared" si="57"/>
        <v>23280</v>
      </c>
      <c r="AF166" s="97">
        <f t="shared" si="61"/>
        <v>30144</v>
      </c>
      <c r="AG166" s="97">
        <f t="shared" si="58"/>
        <v>6864</v>
      </c>
      <c r="AH166" s="97" t="str">
        <f t="shared" si="59"/>
        <v>profit</v>
      </c>
      <c r="AI166" s="100" t="b">
        <f t="shared" si="60"/>
        <v>1</v>
      </c>
    </row>
    <row r="167" spans="1:35" x14ac:dyDescent="0.3">
      <c r="A167" s="99">
        <v>45549</v>
      </c>
      <c r="B167" s="97" t="s">
        <v>213</v>
      </c>
      <c r="C167" s="19" t="s">
        <v>109</v>
      </c>
      <c r="D167" s="97" t="s">
        <v>131</v>
      </c>
      <c r="E167" s="97" t="s">
        <v>129</v>
      </c>
      <c r="F167" s="97" t="s">
        <v>112</v>
      </c>
      <c r="G167" s="97">
        <v>14</v>
      </c>
      <c r="H167" s="97">
        <v>857</v>
      </c>
      <c r="I167" s="97">
        <v>767</v>
      </c>
      <c r="J167" s="97">
        <f t="shared" si="51"/>
        <v>11998</v>
      </c>
      <c r="K167" s="97">
        <f t="shared" si="52"/>
        <v>10738</v>
      </c>
      <c r="L167" s="97">
        <f t="shared" si="53"/>
        <v>-1260</v>
      </c>
      <c r="M167" s="97" t="str">
        <f t="shared" si="54"/>
        <v>loss</v>
      </c>
      <c r="N167" s="100" t="b">
        <f t="shared" si="55"/>
        <v>0</v>
      </c>
      <c r="V167" s="99">
        <v>45486</v>
      </c>
      <c r="W167" s="97" t="s">
        <v>268</v>
      </c>
      <c r="X167" s="19" t="s">
        <v>139</v>
      </c>
      <c r="Y167" s="97" t="s">
        <v>205</v>
      </c>
      <c r="Z167" s="97" t="s">
        <v>155</v>
      </c>
      <c r="AA167" s="97" t="s">
        <v>123</v>
      </c>
      <c r="AB167" s="97">
        <v>22</v>
      </c>
      <c r="AC167" s="97">
        <v>974</v>
      </c>
      <c r="AD167" s="97">
        <v>1329</v>
      </c>
      <c r="AE167" s="97">
        <f t="shared" si="57"/>
        <v>21428</v>
      </c>
      <c r="AF167" s="97">
        <f t="shared" si="61"/>
        <v>29238</v>
      </c>
      <c r="AG167" s="97">
        <f t="shared" si="58"/>
        <v>7810</v>
      </c>
      <c r="AH167" s="97" t="str">
        <f t="shared" si="59"/>
        <v>profit</v>
      </c>
      <c r="AI167" s="100" t="b">
        <f t="shared" si="60"/>
        <v>1</v>
      </c>
    </row>
    <row r="168" spans="1:35" x14ac:dyDescent="0.3">
      <c r="A168" s="99">
        <v>45567</v>
      </c>
      <c r="B168" s="97" t="s">
        <v>176</v>
      </c>
      <c r="C168" s="19" t="s">
        <v>109</v>
      </c>
      <c r="D168" s="97" t="s">
        <v>110</v>
      </c>
      <c r="E168" s="97" t="s">
        <v>151</v>
      </c>
      <c r="F168" s="97" t="s">
        <v>112</v>
      </c>
      <c r="G168" s="97">
        <v>11</v>
      </c>
      <c r="H168" s="97">
        <v>654</v>
      </c>
      <c r="I168" s="97">
        <v>767</v>
      </c>
      <c r="J168" s="97">
        <f t="shared" si="51"/>
        <v>7194</v>
      </c>
      <c r="K168" s="97">
        <f t="shared" si="52"/>
        <v>8437</v>
      </c>
      <c r="L168" s="97">
        <f t="shared" si="53"/>
        <v>1243</v>
      </c>
      <c r="M168" s="97" t="str">
        <f t="shared" si="54"/>
        <v>profit</v>
      </c>
      <c r="N168" s="100" t="b">
        <f t="shared" si="55"/>
        <v>0</v>
      </c>
      <c r="V168" s="99">
        <v>45487</v>
      </c>
      <c r="W168" s="97" t="s">
        <v>269</v>
      </c>
      <c r="X168" s="19" t="s">
        <v>139</v>
      </c>
      <c r="Y168" s="97" t="s">
        <v>205</v>
      </c>
      <c r="Z168" s="97" t="s">
        <v>151</v>
      </c>
      <c r="AA168" s="97" t="s">
        <v>123</v>
      </c>
      <c r="AB168" s="97">
        <v>21</v>
      </c>
      <c r="AC168" s="97">
        <v>915</v>
      </c>
      <c r="AD168" s="97">
        <v>1442</v>
      </c>
      <c r="AE168" s="97">
        <f t="shared" si="57"/>
        <v>19215</v>
      </c>
      <c r="AF168" s="97">
        <f t="shared" si="61"/>
        <v>30282</v>
      </c>
      <c r="AG168" s="97">
        <f t="shared" si="58"/>
        <v>11067</v>
      </c>
      <c r="AH168" s="97" t="str">
        <f t="shared" si="59"/>
        <v>profit</v>
      </c>
      <c r="AI168" s="100" t="b">
        <f t="shared" si="60"/>
        <v>0</v>
      </c>
    </row>
    <row r="169" spans="1:35" x14ac:dyDescent="0.3">
      <c r="A169" s="99">
        <v>45568</v>
      </c>
      <c r="B169" s="97" t="s">
        <v>177</v>
      </c>
      <c r="C169" s="19" t="s">
        <v>109</v>
      </c>
      <c r="D169" s="97" t="s">
        <v>110</v>
      </c>
      <c r="E169" s="97" t="s">
        <v>133</v>
      </c>
      <c r="F169" s="97" t="s">
        <v>112</v>
      </c>
      <c r="G169" s="97">
        <v>19</v>
      </c>
      <c r="H169" s="97">
        <v>764</v>
      </c>
      <c r="I169" s="97">
        <v>1069</v>
      </c>
      <c r="J169" s="97">
        <f t="shared" si="51"/>
        <v>14516</v>
      </c>
      <c r="K169" s="97">
        <f t="shared" si="52"/>
        <v>20311</v>
      </c>
      <c r="L169" s="97">
        <f t="shared" si="53"/>
        <v>5795</v>
      </c>
      <c r="M169" s="97" t="str">
        <f t="shared" si="54"/>
        <v>profit</v>
      </c>
      <c r="N169" s="100" t="b">
        <f t="shared" si="55"/>
        <v>0</v>
      </c>
      <c r="V169" s="99">
        <v>45489</v>
      </c>
      <c r="W169" s="97" t="s">
        <v>270</v>
      </c>
      <c r="X169" s="19" t="s">
        <v>139</v>
      </c>
      <c r="Y169" s="97" t="s">
        <v>205</v>
      </c>
      <c r="Z169" s="97" t="s">
        <v>125</v>
      </c>
      <c r="AA169" s="97" t="s">
        <v>112</v>
      </c>
      <c r="AB169" s="97">
        <v>27</v>
      </c>
      <c r="AC169" s="97">
        <v>605</v>
      </c>
      <c r="AD169" s="97">
        <v>826</v>
      </c>
      <c r="AE169" s="97">
        <f t="shared" si="57"/>
        <v>16335</v>
      </c>
      <c r="AF169" s="97">
        <f t="shared" si="61"/>
        <v>22302</v>
      </c>
      <c r="AG169" s="97">
        <f t="shared" si="58"/>
        <v>5967</v>
      </c>
      <c r="AH169" s="97" t="str">
        <f t="shared" si="59"/>
        <v>profit</v>
      </c>
      <c r="AI169" s="100" t="b">
        <f t="shared" si="60"/>
        <v>0</v>
      </c>
    </row>
    <row r="170" spans="1:35" x14ac:dyDescent="0.3">
      <c r="A170" s="99">
        <v>45580</v>
      </c>
      <c r="B170" s="97" t="s">
        <v>178</v>
      </c>
      <c r="C170" s="19" t="s">
        <v>109</v>
      </c>
      <c r="D170" s="97" t="s">
        <v>131</v>
      </c>
      <c r="E170" s="97" t="s">
        <v>125</v>
      </c>
      <c r="F170" s="97" t="s">
        <v>123</v>
      </c>
      <c r="G170" s="97">
        <v>15</v>
      </c>
      <c r="H170" s="97">
        <v>906</v>
      </c>
      <c r="I170" s="97">
        <v>1485</v>
      </c>
      <c r="J170" s="97">
        <f t="shared" si="51"/>
        <v>13590</v>
      </c>
      <c r="K170" s="97">
        <f t="shared" si="52"/>
        <v>22275</v>
      </c>
      <c r="L170" s="97">
        <f t="shared" si="53"/>
        <v>8685</v>
      </c>
      <c r="M170" s="97" t="str">
        <f t="shared" si="54"/>
        <v>profit</v>
      </c>
      <c r="N170" s="100" t="b">
        <f t="shared" si="55"/>
        <v>0</v>
      </c>
      <c r="V170" s="99">
        <v>45405</v>
      </c>
      <c r="W170" s="97" t="s">
        <v>153</v>
      </c>
      <c r="X170" s="19" t="s">
        <v>139</v>
      </c>
      <c r="Y170" s="97" t="s">
        <v>154</v>
      </c>
      <c r="Z170" s="97" t="s">
        <v>155</v>
      </c>
      <c r="AA170" s="97" t="s">
        <v>123</v>
      </c>
      <c r="AB170" s="97">
        <v>29</v>
      </c>
      <c r="AC170" s="97">
        <v>893</v>
      </c>
      <c r="AD170" s="97">
        <v>865</v>
      </c>
      <c r="AE170" s="97">
        <f t="shared" si="57"/>
        <v>25897</v>
      </c>
      <c r="AF170" s="97">
        <f t="shared" si="61"/>
        <v>25085</v>
      </c>
      <c r="AG170" s="97">
        <f t="shared" si="58"/>
        <v>-812</v>
      </c>
      <c r="AH170" s="97" t="str">
        <f t="shared" si="59"/>
        <v>loss</v>
      </c>
      <c r="AI170" s="100" t="b">
        <f t="shared" si="60"/>
        <v>0</v>
      </c>
    </row>
    <row r="171" spans="1:35" x14ac:dyDescent="0.3">
      <c r="A171" s="99">
        <v>45581</v>
      </c>
      <c r="B171" s="97" t="s">
        <v>179</v>
      </c>
      <c r="C171" s="19" t="s">
        <v>109</v>
      </c>
      <c r="D171" s="97" t="s">
        <v>131</v>
      </c>
      <c r="E171" s="97" t="s">
        <v>120</v>
      </c>
      <c r="F171" s="97" t="s">
        <v>123</v>
      </c>
      <c r="G171" s="97">
        <v>20</v>
      </c>
      <c r="H171" s="97">
        <v>780</v>
      </c>
      <c r="I171" s="97">
        <v>783</v>
      </c>
      <c r="J171" s="97">
        <f t="shared" si="51"/>
        <v>15600</v>
      </c>
      <c r="K171" s="97" t="s">
        <v>340</v>
      </c>
      <c r="L171" s="97" t="e">
        <f t="shared" si="53"/>
        <v>#VALUE!</v>
      </c>
      <c r="M171" s="97" t="e">
        <f t="shared" si="54"/>
        <v>#VALUE!</v>
      </c>
      <c r="N171" s="100" t="e">
        <f t="shared" si="55"/>
        <v>#VALUE!</v>
      </c>
      <c r="V171" s="99">
        <v>45490</v>
      </c>
      <c r="W171" s="97" t="s">
        <v>271</v>
      </c>
      <c r="X171" s="19" t="s">
        <v>139</v>
      </c>
      <c r="Y171" s="97" t="s">
        <v>205</v>
      </c>
      <c r="Z171" s="97" t="s">
        <v>200</v>
      </c>
      <c r="AA171" s="97" t="s">
        <v>112</v>
      </c>
      <c r="AB171" s="97">
        <v>29</v>
      </c>
      <c r="AC171" s="97">
        <v>689</v>
      </c>
      <c r="AD171" s="97">
        <v>783</v>
      </c>
      <c r="AE171" s="97">
        <f t="shared" si="57"/>
        <v>19981</v>
      </c>
      <c r="AF171" s="97">
        <f t="shared" si="61"/>
        <v>22707</v>
      </c>
      <c r="AG171" s="97">
        <f t="shared" si="58"/>
        <v>2726</v>
      </c>
      <c r="AH171" s="97" t="str">
        <f t="shared" si="59"/>
        <v>profit</v>
      </c>
      <c r="AI171" s="100" t="b">
        <f t="shared" si="60"/>
        <v>0</v>
      </c>
    </row>
    <row r="172" spans="1:35" x14ac:dyDescent="0.3">
      <c r="A172" s="99">
        <v>45554</v>
      </c>
      <c r="B172" s="97" t="s">
        <v>214</v>
      </c>
      <c r="C172" s="19" t="s">
        <v>109</v>
      </c>
      <c r="D172" s="97" t="s">
        <v>131</v>
      </c>
      <c r="E172" s="97" t="s">
        <v>133</v>
      </c>
      <c r="F172" s="97" t="s">
        <v>123</v>
      </c>
      <c r="G172" s="97">
        <v>14</v>
      </c>
      <c r="H172" s="97">
        <v>515</v>
      </c>
      <c r="I172" s="97">
        <v>1230</v>
      </c>
      <c r="J172" s="97">
        <f t="shared" si="51"/>
        <v>7210</v>
      </c>
      <c r="K172" s="97">
        <f t="shared" si="52"/>
        <v>17220</v>
      </c>
      <c r="L172" s="97">
        <f t="shared" si="53"/>
        <v>10010</v>
      </c>
      <c r="M172" s="97" t="str">
        <f t="shared" si="54"/>
        <v>profit</v>
      </c>
      <c r="N172" s="100" t="b">
        <f t="shared" si="55"/>
        <v>0</v>
      </c>
      <c r="V172" s="99">
        <v>45407</v>
      </c>
      <c r="W172" s="97" t="s">
        <v>157</v>
      </c>
      <c r="X172" s="19" t="s">
        <v>139</v>
      </c>
      <c r="Y172" s="97" t="s">
        <v>154</v>
      </c>
      <c r="Z172" s="97" t="s">
        <v>151</v>
      </c>
      <c r="AA172" s="97" t="s">
        <v>112</v>
      </c>
      <c r="AB172" s="97">
        <v>24</v>
      </c>
      <c r="AC172" s="97">
        <v>859</v>
      </c>
      <c r="AD172" s="97">
        <v>1473</v>
      </c>
      <c r="AE172" s="97">
        <f t="shared" si="57"/>
        <v>20616</v>
      </c>
      <c r="AF172" s="97">
        <f t="shared" si="61"/>
        <v>35352</v>
      </c>
      <c r="AG172" s="97">
        <f t="shared" si="58"/>
        <v>14736</v>
      </c>
      <c r="AH172" s="97" t="str">
        <f t="shared" si="59"/>
        <v>profit</v>
      </c>
      <c r="AI172" s="100" t="b">
        <f t="shared" si="60"/>
        <v>1</v>
      </c>
    </row>
    <row r="173" spans="1:35" x14ac:dyDescent="0.3">
      <c r="A173" s="99">
        <v>45582</v>
      </c>
      <c r="B173" s="97" t="s">
        <v>180</v>
      </c>
      <c r="C173" s="19" t="s">
        <v>109</v>
      </c>
      <c r="D173" s="97" t="s">
        <v>131</v>
      </c>
      <c r="E173" s="97" t="s">
        <v>166</v>
      </c>
      <c r="F173" s="97" t="s">
        <v>123</v>
      </c>
      <c r="G173" s="97">
        <v>17</v>
      </c>
      <c r="H173" s="97">
        <v>747</v>
      </c>
      <c r="I173" s="97">
        <v>1190</v>
      </c>
      <c r="J173" s="97">
        <f t="shared" si="51"/>
        <v>12699</v>
      </c>
      <c r="K173" s="97">
        <f t="shared" si="52"/>
        <v>20230</v>
      </c>
      <c r="L173" s="97">
        <f t="shared" si="53"/>
        <v>7531</v>
      </c>
      <c r="M173" s="97" t="str">
        <f t="shared" si="54"/>
        <v>profit</v>
      </c>
      <c r="N173" s="100" t="b">
        <f t="shared" si="55"/>
        <v>0</v>
      </c>
      <c r="V173" s="99">
        <v>45491</v>
      </c>
      <c r="W173" s="97" t="s">
        <v>272</v>
      </c>
      <c r="X173" s="19" t="s">
        <v>139</v>
      </c>
      <c r="Y173" s="97" t="s">
        <v>205</v>
      </c>
      <c r="Z173" s="97" t="s">
        <v>137</v>
      </c>
      <c r="AA173" s="97" t="s">
        <v>112</v>
      </c>
      <c r="AB173" s="97">
        <v>25</v>
      </c>
      <c r="AC173" s="97">
        <v>861</v>
      </c>
      <c r="AD173" s="97">
        <v>843</v>
      </c>
      <c r="AE173" s="97">
        <f t="shared" si="57"/>
        <v>21525</v>
      </c>
      <c r="AF173" s="97">
        <f t="shared" si="61"/>
        <v>21075</v>
      </c>
      <c r="AG173" s="97">
        <f t="shared" si="58"/>
        <v>-450</v>
      </c>
      <c r="AH173" s="97" t="str">
        <f t="shared" si="59"/>
        <v>loss</v>
      </c>
      <c r="AI173" s="100" t="b">
        <f t="shared" si="60"/>
        <v>0</v>
      </c>
    </row>
    <row r="174" spans="1:35" x14ac:dyDescent="0.3">
      <c r="A174" s="99">
        <v>45584</v>
      </c>
      <c r="B174" s="97" t="s">
        <v>181</v>
      </c>
      <c r="C174" s="19" t="s">
        <v>109</v>
      </c>
      <c r="D174" s="97" t="s">
        <v>131</v>
      </c>
      <c r="E174" s="97" t="s">
        <v>129</v>
      </c>
      <c r="F174" s="97" t="s">
        <v>112</v>
      </c>
      <c r="G174" s="97">
        <v>15</v>
      </c>
      <c r="H174" s="97">
        <v>747</v>
      </c>
      <c r="I174" s="97">
        <v>966</v>
      </c>
      <c r="J174" s="97">
        <f t="shared" si="51"/>
        <v>11205</v>
      </c>
      <c r="K174" s="97">
        <f t="shared" si="52"/>
        <v>14490</v>
      </c>
      <c r="L174" s="97">
        <f t="shared" si="53"/>
        <v>3285</v>
      </c>
      <c r="M174" s="97" t="str">
        <f t="shared" si="54"/>
        <v>profit</v>
      </c>
      <c r="N174" s="100" t="b">
        <f t="shared" si="55"/>
        <v>0</v>
      </c>
      <c r="V174" s="99">
        <v>45492</v>
      </c>
      <c r="W174" s="97" t="s">
        <v>274</v>
      </c>
      <c r="X174" s="19" t="s">
        <v>139</v>
      </c>
      <c r="Y174" s="97" t="s">
        <v>205</v>
      </c>
      <c r="Z174" s="97" t="s">
        <v>240</v>
      </c>
      <c r="AA174" s="97" t="s">
        <v>112</v>
      </c>
      <c r="AB174" s="97">
        <v>22</v>
      </c>
      <c r="AC174" s="97">
        <v>629</v>
      </c>
      <c r="AD174" s="97">
        <v>1263</v>
      </c>
      <c r="AE174" s="97">
        <f t="shared" si="57"/>
        <v>13838</v>
      </c>
      <c r="AF174" s="97">
        <f t="shared" si="61"/>
        <v>27786</v>
      </c>
      <c r="AG174" s="97">
        <f t="shared" si="58"/>
        <v>13948</v>
      </c>
      <c r="AH174" s="97" t="str">
        <f t="shared" si="59"/>
        <v>profit</v>
      </c>
      <c r="AI174" s="100" t="b">
        <f t="shared" si="60"/>
        <v>0</v>
      </c>
    </row>
    <row r="175" spans="1:35" x14ac:dyDescent="0.3">
      <c r="A175" s="99">
        <v>45585</v>
      </c>
      <c r="B175" s="97" t="s">
        <v>182</v>
      </c>
      <c r="C175" s="19" t="s">
        <v>109</v>
      </c>
      <c r="D175" s="97" t="s">
        <v>131</v>
      </c>
      <c r="E175" s="97" t="s">
        <v>133</v>
      </c>
      <c r="F175" s="97" t="s">
        <v>112</v>
      </c>
      <c r="G175" s="97">
        <v>20</v>
      </c>
      <c r="H175" s="97">
        <v>844</v>
      </c>
      <c r="I175" s="97">
        <v>1010</v>
      </c>
      <c r="J175" s="97">
        <f t="shared" si="51"/>
        <v>16880</v>
      </c>
      <c r="K175" s="97">
        <f t="shared" si="52"/>
        <v>20200</v>
      </c>
      <c r="L175" s="97">
        <f t="shared" si="53"/>
        <v>3320</v>
      </c>
      <c r="M175" s="97" t="str">
        <f t="shared" si="54"/>
        <v>profit</v>
      </c>
      <c r="N175" s="100" t="b">
        <f t="shared" si="55"/>
        <v>0</v>
      </c>
      <c r="V175" s="99">
        <v>45493</v>
      </c>
      <c r="W175" s="97" t="s">
        <v>275</v>
      </c>
      <c r="X175" s="19" t="s">
        <v>139</v>
      </c>
      <c r="Y175" s="97" t="s">
        <v>205</v>
      </c>
      <c r="Z175" s="97" t="s">
        <v>242</v>
      </c>
      <c r="AA175" s="97" t="s">
        <v>112</v>
      </c>
      <c r="AB175" s="97">
        <v>22</v>
      </c>
      <c r="AC175" s="97">
        <v>779</v>
      </c>
      <c r="AD175" s="97">
        <v>1301</v>
      </c>
      <c r="AE175" s="97">
        <f t="shared" si="57"/>
        <v>17138</v>
      </c>
      <c r="AF175" s="97">
        <f t="shared" si="61"/>
        <v>28622</v>
      </c>
      <c r="AG175" s="97">
        <f t="shared" si="58"/>
        <v>11484</v>
      </c>
      <c r="AH175" s="97" t="str">
        <f t="shared" si="59"/>
        <v>profit</v>
      </c>
      <c r="AI175" s="100" t="b">
        <f t="shared" si="60"/>
        <v>0</v>
      </c>
    </row>
    <row r="176" spans="1:35" x14ac:dyDescent="0.3">
      <c r="A176" s="99">
        <v>45587</v>
      </c>
      <c r="B176" s="97" t="s">
        <v>183</v>
      </c>
      <c r="C176" s="19" t="s">
        <v>109</v>
      </c>
      <c r="D176" s="97" t="s">
        <v>131</v>
      </c>
      <c r="E176" s="97" t="s">
        <v>155</v>
      </c>
      <c r="F176" s="97" t="s">
        <v>112</v>
      </c>
      <c r="G176" s="97">
        <v>14</v>
      </c>
      <c r="H176" s="97">
        <v>799</v>
      </c>
      <c r="I176" s="97">
        <v>1154</v>
      </c>
      <c r="J176" s="97">
        <f t="shared" si="51"/>
        <v>11186</v>
      </c>
      <c r="K176" s="97" t="s">
        <v>340</v>
      </c>
      <c r="L176" s="97" t="e">
        <f t="shared" si="53"/>
        <v>#VALUE!</v>
      </c>
      <c r="M176" s="97" t="e">
        <f t="shared" si="54"/>
        <v>#VALUE!</v>
      </c>
      <c r="N176" s="100" t="e">
        <f t="shared" si="55"/>
        <v>#VALUE!</v>
      </c>
      <c r="V176" s="99">
        <v>45494</v>
      </c>
      <c r="W176" s="97" t="s">
        <v>277</v>
      </c>
      <c r="X176" s="19" t="s">
        <v>139</v>
      </c>
      <c r="Y176" s="97" t="s">
        <v>205</v>
      </c>
      <c r="Z176" s="97" t="s">
        <v>111</v>
      </c>
      <c r="AA176" s="97" t="s">
        <v>112</v>
      </c>
      <c r="AB176" s="97">
        <v>23</v>
      </c>
      <c r="AC176" s="97">
        <v>730</v>
      </c>
      <c r="AD176" s="97">
        <v>1189</v>
      </c>
      <c r="AE176" s="97">
        <f t="shared" si="57"/>
        <v>16790</v>
      </c>
      <c r="AF176" s="97">
        <f t="shared" si="61"/>
        <v>27347</v>
      </c>
      <c r="AG176" s="97">
        <f t="shared" si="58"/>
        <v>10557</v>
      </c>
      <c r="AH176" s="97" t="str">
        <f t="shared" si="59"/>
        <v>profit</v>
      </c>
      <c r="AI176" s="100" t="b">
        <f t="shared" si="60"/>
        <v>0</v>
      </c>
    </row>
    <row r="177" spans="1:35" x14ac:dyDescent="0.3">
      <c r="A177" s="99">
        <v>45659</v>
      </c>
      <c r="B177" s="97" t="s">
        <v>184</v>
      </c>
      <c r="C177" s="19" t="s">
        <v>109</v>
      </c>
      <c r="D177" s="97" t="s">
        <v>110</v>
      </c>
      <c r="E177" s="97" t="s">
        <v>120</v>
      </c>
      <c r="F177" s="97" t="s">
        <v>112</v>
      </c>
      <c r="G177" s="97">
        <v>19</v>
      </c>
      <c r="H177" s="97">
        <v>608</v>
      </c>
      <c r="I177" s="97">
        <v>1032</v>
      </c>
      <c r="J177" s="97">
        <f t="shared" si="51"/>
        <v>11552</v>
      </c>
      <c r="K177" s="97">
        <f t="shared" si="52"/>
        <v>19608</v>
      </c>
      <c r="L177" s="97">
        <f t="shared" si="53"/>
        <v>8056</v>
      </c>
      <c r="M177" s="97" t="str">
        <f t="shared" si="54"/>
        <v>profit</v>
      </c>
      <c r="N177" s="100" t="b">
        <f t="shared" si="55"/>
        <v>0</v>
      </c>
      <c r="V177" s="99">
        <v>45517</v>
      </c>
      <c r="W177" s="97" t="s">
        <v>278</v>
      </c>
      <c r="X177" s="19" t="s">
        <v>139</v>
      </c>
      <c r="Y177" s="97" t="s">
        <v>205</v>
      </c>
      <c r="Z177" s="97" t="s">
        <v>137</v>
      </c>
      <c r="AA177" s="97" t="s">
        <v>123</v>
      </c>
      <c r="AB177" s="97">
        <v>26</v>
      </c>
      <c r="AC177" s="97">
        <v>847</v>
      </c>
      <c r="AD177" s="97">
        <v>1116</v>
      </c>
      <c r="AE177" s="97">
        <f t="shared" si="57"/>
        <v>22022</v>
      </c>
      <c r="AF177" s="97">
        <f t="shared" si="61"/>
        <v>29016</v>
      </c>
      <c r="AG177" s="97">
        <f t="shared" si="58"/>
        <v>6994</v>
      </c>
      <c r="AH177" s="97" t="str">
        <f t="shared" si="59"/>
        <v>profit</v>
      </c>
      <c r="AI177" s="100" t="b">
        <f t="shared" si="60"/>
        <v>1</v>
      </c>
    </row>
    <row r="178" spans="1:35" x14ac:dyDescent="0.3">
      <c r="A178" s="99">
        <v>45661</v>
      </c>
      <c r="B178" s="97" t="s">
        <v>187</v>
      </c>
      <c r="C178" s="19" t="s">
        <v>109</v>
      </c>
      <c r="D178" s="97" t="s">
        <v>110</v>
      </c>
      <c r="E178" s="97" t="s">
        <v>161</v>
      </c>
      <c r="F178" s="97" t="s">
        <v>112</v>
      </c>
      <c r="G178" s="97">
        <v>14</v>
      </c>
      <c r="H178" s="97">
        <v>579</v>
      </c>
      <c r="I178" s="97">
        <v>907</v>
      </c>
      <c r="J178" s="97">
        <f t="shared" si="51"/>
        <v>8106</v>
      </c>
      <c r="K178" s="97">
        <f t="shared" si="52"/>
        <v>12698</v>
      </c>
      <c r="L178" s="97">
        <f t="shared" si="53"/>
        <v>4592</v>
      </c>
      <c r="M178" s="97" t="str">
        <f t="shared" si="54"/>
        <v>profit</v>
      </c>
      <c r="N178" s="100" t="b">
        <f t="shared" si="55"/>
        <v>0</v>
      </c>
      <c r="V178" s="99">
        <v>45518</v>
      </c>
      <c r="W178" s="97" t="s">
        <v>279</v>
      </c>
      <c r="X178" s="19" t="s">
        <v>139</v>
      </c>
      <c r="Y178" s="97" t="s">
        <v>205</v>
      </c>
      <c r="Z178" s="97" t="s">
        <v>142</v>
      </c>
      <c r="AA178" s="97" t="s">
        <v>123</v>
      </c>
      <c r="AB178" s="97">
        <v>24</v>
      </c>
      <c r="AC178" s="97">
        <v>942</v>
      </c>
      <c r="AD178" s="97">
        <v>1313</v>
      </c>
      <c r="AE178" s="97">
        <f t="shared" si="57"/>
        <v>22608</v>
      </c>
      <c r="AF178" s="97">
        <f t="shared" si="61"/>
        <v>31512</v>
      </c>
      <c r="AG178" s="97">
        <f t="shared" si="58"/>
        <v>8904</v>
      </c>
      <c r="AH178" s="97" t="str">
        <f t="shared" si="59"/>
        <v>profit</v>
      </c>
      <c r="AI178" s="100" t="b">
        <f t="shared" si="60"/>
        <v>1</v>
      </c>
    </row>
    <row r="179" spans="1:35" x14ac:dyDescent="0.3">
      <c r="A179" s="99">
        <v>45663</v>
      </c>
      <c r="B179" s="97" t="s">
        <v>188</v>
      </c>
      <c r="C179" s="19" t="s">
        <v>109</v>
      </c>
      <c r="D179" s="97" t="s">
        <v>110</v>
      </c>
      <c r="E179" s="97" t="s">
        <v>115</v>
      </c>
      <c r="F179" s="97" t="s">
        <v>112</v>
      </c>
      <c r="G179" s="97">
        <v>17</v>
      </c>
      <c r="H179" s="97">
        <v>825</v>
      </c>
      <c r="I179" s="97">
        <v>1080</v>
      </c>
      <c r="J179" s="97">
        <f t="shared" si="51"/>
        <v>14025</v>
      </c>
      <c r="K179" s="97">
        <f t="shared" si="52"/>
        <v>18360</v>
      </c>
      <c r="L179" s="97">
        <f t="shared" si="53"/>
        <v>4335</v>
      </c>
      <c r="M179" s="97" t="str">
        <f t="shared" si="54"/>
        <v>profit</v>
      </c>
      <c r="N179" s="100" t="b">
        <f t="shared" si="55"/>
        <v>0</v>
      </c>
      <c r="V179" s="99">
        <v>45519</v>
      </c>
      <c r="W179" s="97" t="s">
        <v>280</v>
      </c>
      <c r="X179" s="19" t="s">
        <v>139</v>
      </c>
      <c r="Y179" s="97" t="s">
        <v>205</v>
      </c>
      <c r="Z179" s="97" t="s">
        <v>122</v>
      </c>
      <c r="AA179" s="97" t="s">
        <v>112</v>
      </c>
      <c r="AB179" s="97">
        <v>20</v>
      </c>
      <c r="AC179" s="97">
        <v>751</v>
      </c>
      <c r="AD179" s="97">
        <v>861</v>
      </c>
      <c r="AE179" s="97">
        <f t="shared" si="57"/>
        <v>15020</v>
      </c>
      <c r="AF179" s="97">
        <f t="shared" si="61"/>
        <v>17220</v>
      </c>
      <c r="AG179" s="97">
        <f t="shared" si="58"/>
        <v>2200</v>
      </c>
      <c r="AH179" s="97" t="str">
        <f t="shared" si="59"/>
        <v>profit</v>
      </c>
      <c r="AI179" s="100" t="b">
        <f t="shared" si="60"/>
        <v>0</v>
      </c>
    </row>
    <row r="180" spans="1:35" x14ac:dyDescent="0.3">
      <c r="A180" s="99">
        <v>45665</v>
      </c>
      <c r="B180" s="97" t="s">
        <v>189</v>
      </c>
      <c r="C180" s="19" t="s">
        <v>109</v>
      </c>
      <c r="D180" s="97" t="s">
        <v>110</v>
      </c>
      <c r="E180" s="97" t="s">
        <v>120</v>
      </c>
      <c r="F180" s="97" t="s">
        <v>123</v>
      </c>
      <c r="G180" s="97">
        <v>15</v>
      </c>
      <c r="H180" s="97">
        <v>827</v>
      </c>
      <c r="I180" s="97">
        <v>931</v>
      </c>
      <c r="J180" s="97">
        <f t="shared" si="51"/>
        <v>12405</v>
      </c>
      <c r="K180" s="97">
        <f t="shared" si="52"/>
        <v>13965</v>
      </c>
      <c r="L180" s="97">
        <f t="shared" si="53"/>
        <v>1560</v>
      </c>
      <c r="M180" s="97" t="str">
        <f t="shared" si="54"/>
        <v>profit</v>
      </c>
      <c r="N180" s="100" t="b">
        <f t="shared" si="55"/>
        <v>0</v>
      </c>
      <c r="V180" s="99">
        <v>45521</v>
      </c>
      <c r="W180" s="97" t="s">
        <v>282</v>
      </c>
      <c r="X180" s="19" t="s">
        <v>139</v>
      </c>
      <c r="Y180" s="97" t="s">
        <v>205</v>
      </c>
      <c r="Z180" s="97" t="s">
        <v>146</v>
      </c>
      <c r="AA180" s="97" t="s">
        <v>123</v>
      </c>
      <c r="AB180" s="97">
        <v>28</v>
      </c>
      <c r="AC180" s="97">
        <v>855</v>
      </c>
      <c r="AD180" s="97">
        <v>930</v>
      </c>
      <c r="AE180" s="97">
        <f t="shared" si="57"/>
        <v>23940</v>
      </c>
      <c r="AF180" s="97">
        <f t="shared" si="61"/>
        <v>26040</v>
      </c>
      <c r="AG180" s="97">
        <f t="shared" si="58"/>
        <v>2100</v>
      </c>
      <c r="AH180" s="97" t="str">
        <f t="shared" si="59"/>
        <v>profit</v>
      </c>
      <c r="AI180" s="100" t="b">
        <f t="shared" si="60"/>
        <v>1</v>
      </c>
    </row>
    <row r="181" spans="1:35" x14ac:dyDescent="0.3">
      <c r="A181" s="99">
        <v>45563</v>
      </c>
      <c r="B181" s="97" t="s">
        <v>215</v>
      </c>
      <c r="C181" s="19" t="s">
        <v>109</v>
      </c>
      <c r="D181" s="97" t="s">
        <v>110</v>
      </c>
      <c r="E181" s="97" t="s">
        <v>133</v>
      </c>
      <c r="F181" s="97" t="s">
        <v>112</v>
      </c>
      <c r="G181" s="97">
        <v>15</v>
      </c>
      <c r="H181" s="97">
        <v>650</v>
      </c>
      <c r="I181" s="97">
        <v>1347</v>
      </c>
      <c r="J181" s="97">
        <f t="shared" si="51"/>
        <v>9750</v>
      </c>
      <c r="K181" s="97">
        <f t="shared" si="52"/>
        <v>20205</v>
      </c>
      <c r="L181" s="97">
        <f t="shared" si="53"/>
        <v>10455</v>
      </c>
      <c r="M181" s="97" t="str">
        <f t="shared" si="54"/>
        <v>profit</v>
      </c>
      <c r="N181" s="100" t="b">
        <f t="shared" si="55"/>
        <v>0</v>
      </c>
      <c r="V181" s="99">
        <v>45522</v>
      </c>
      <c r="W181" s="97" t="s">
        <v>194</v>
      </c>
      <c r="X181" s="19" t="s">
        <v>139</v>
      </c>
      <c r="Y181" s="97" t="s">
        <v>205</v>
      </c>
      <c r="Z181" s="97" t="s">
        <v>129</v>
      </c>
      <c r="AA181" s="97" t="s">
        <v>123</v>
      </c>
      <c r="AB181" s="97">
        <v>22</v>
      </c>
      <c r="AC181" s="97">
        <v>806</v>
      </c>
      <c r="AD181" s="97">
        <v>1391</v>
      </c>
      <c r="AE181" s="97">
        <f t="shared" si="57"/>
        <v>17732</v>
      </c>
      <c r="AF181" s="97">
        <f t="shared" si="61"/>
        <v>30602</v>
      </c>
      <c r="AG181" s="97">
        <f t="shared" si="58"/>
        <v>12870</v>
      </c>
      <c r="AH181" s="97" t="str">
        <f t="shared" si="59"/>
        <v>profit</v>
      </c>
      <c r="AI181" s="100" t="b">
        <f t="shared" si="60"/>
        <v>0</v>
      </c>
    </row>
    <row r="182" spans="1:35" x14ac:dyDescent="0.3">
      <c r="A182" s="99">
        <v>45678</v>
      </c>
      <c r="B182" s="97" t="s">
        <v>190</v>
      </c>
      <c r="C182" s="19" t="s">
        <v>109</v>
      </c>
      <c r="D182" s="97" t="s">
        <v>131</v>
      </c>
      <c r="E182" s="97" t="s">
        <v>111</v>
      </c>
      <c r="F182" s="97" t="s">
        <v>112</v>
      </c>
      <c r="G182" s="97">
        <v>20</v>
      </c>
      <c r="H182" s="97">
        <v>900</v>
      </c>
      <c r="I182" s="97">
        <v>1431</v>
      </c>
      <c r="J182" s="97">
        <f t="shared" si="51"/>
        <v>18000</v>
      </c>
      <c r="K182" s="97">
        <f t="shared" si="52"/>
        <v>28620</v>
      </c>
      <c r="L182" s="97">
        <f t="shared" si="53"/>
        <v>10620</v>
      </c>
      <c r="M182" s="97" t="str">
        <f t="shared" si="54"/>
        <v>profit</v>
      </c>
      <c r="N182" s="100" t="b">
        <f t="shared" si="55"/>
        <v>0</v>
      </c>
      <c r="V182" s="99">
        <v>45523</v>
      </c>
      <c r="W182" s="97" t="s">
        <v>284</v>
      </c>
      <c r="X182" s="19" t="s">
        <v>139</v>
      </c>
      <c r="Y182" s="97" t="s">
        <v>205</v>
      </c>
      <c r="Z182" s="97" t="s">
        <v>133</v>
      </c>
      <c r="AA182" s="97" t="s">
        <v>123</v>
      </c>
      <c r="AB182" s="97">
        <v>30</v>
      </c>
      <c r="AC182" s="97">
        <v>624</v>
      </c>
      <c r="AD182" s="97">
        <v>999</v>
      </c>
      <c r="AE182" s="97">
        <f t="shared" si="57"/>
        <v>18720</v>
      </c>
      <c r="AF182" s="97">
        <f t="shared" si="61"/>
        <v>29970</v>
      </c>
      <c r="AG182" s="97">
        <f t="shared" si="58"/>
        <v>11250</v>
      </c>
      <c r="AH182" s="97" t="str">
        <f t="shared" si="59"/>
        <v>profit</v>
      </c>
      <c r="AI182" s="100" t="b">
        <f t="shared" si="60"/>
        <v>0</v>
      </c>
    </row>
    <row r="183" spans="1:35" x14ac:dyDescent="0.3">
      <c r="A183" s="99">
        <v>45565</v>
      </c>
      <c r="B183" s="97" t="s">
        <v>216</v>
      </c>
      <c r="C183" s="19" t="s">
        <v>109</v>
      </c>
      <c r="D183" s="97" t="s">
        <v>110</v>
      </c>
      <c r="E183" s="97" t="s">
        <v>155</v>
      </c>
      <c r="F183" s="97" t="s">
        <v>112</v>
      </c>
      <c r="G183" s="97">
        <v>15</v>
      </c>
      <c r="H183" s="97">
        <v>825</v>
      </c>
      <c r="I183" s="97">
        <v>947</v>
      </c>
      <c r="J183" s="97">
        <f t="shared" si="51"/>
        <v>12375</v>
      </c>
      <c r="K183" s="97">
        <f t="shared" si="52"/>
        <v>14205</v>
      </c>
      <c r="L183" s="97">
        <f t="shared" si="53"/>
        <v>1830</v>
      </c>
      <c r="M183" s="97" t="str">
        <f t="shared" si="54"/>
        <v>profit</v>
      </c>
      <c r="N183" s="100" t="b">
        <f t="shared" si="55"/>
        <v>0</v>
      </c>
      <c r="V183" s="99">
        <v>45524</v>
      </c>
      <c r="W183" s="97" t="s">
        <v>192</v>
      </c>
      <c r="X183" s="19" t="s">
        <v>139</v>
      </c>
      <c r="Y183" s="97" t="s">
        <v>205</v>
      </c>
      <c r="Z183" s="97" t="s">
        <v>133</v>
      </c>
      <c r="AA183" s="97" t="s">
        <v>112</v>
      </c>
      <c r="AB183" s="97">
        <v>25</v>
      </c>
      <c r="AC183" s="97">
        <v>533</v>
      </c>
      <c r="AD183" s="97">
        <v>860</v>
      </c>
      <c r="AE183" s="97">
        <f t="shared" si="57"/>
        <v>13325</v>
      </c>
      <c r="AF183" s="97">
        <f t="shared" si="61"/>
        <v>21500</v>
      </c>
      <c r="AG183" s="97">
        <f t="shared" si="58"/>
        <v>8175</v>
      </c>
      <c r="AH183" s="97" t="str">
        <f t="shared" si="59"/>
        <v>profit</v>
      </c>
      <c r="AI183" s="100" t="b">
        <f t="shared" si="60"/>
        <v>0</v>
      </c>
    </row>
    <row r="184" spans="1:35" x14ac:dyDescent="0.3">
      <c r="A184" s="99">
        <v>45679</v>
      </c>
      <c r="B184" s="97" t="s">
        <v>191</v>
      </c>
      <c r="C184" s="19" t="s">
        <v>109</v>
      </c>
      <c r="D184" s="97" t="s">
        <v>131</v>
      </c>
      <c r="E184" s="97" t="s">
        <v>115</v>
      </c>
      <c r="F184" s="97" t="s">
        <v>112</v>
      </c>
      <c r="G184" s="97">
        <v>19</v>
      </c>
      <c r="H184" s="97">
        <v>791</v>
      </c>
      <c r="I184" s="97">
        <v>965</v>
      </c>
      <c r="J184" s="97">
        <f t="shared" si="51"/>
        <v>15029</v>
      </c>
      <c r="K184" s="97" t="s">
        <v>340</v>
      </c>
      <c r="L184" s="97" t="e">
        <f t="shared" si="53"/>
        <v>#VALUE!</v>
      </c>
      <c r="M184" s="97" t="e">
        <f t="shared" si="54"/>
        <v>#VALUE!</v>
      </c>
      <c r="N184" s="100" t="e">
        <f t="shared" si="55"/>
        <v>#VALUE!</v>
      </c>
      <c r="V184" s="99">
        <v>45525</v>
      </c>
      <c r="W184" s="97" t="s">
        <v>285</v>
      </c>
      <c r="X184" s="19" t="s">
        <v>139</v>
      </c>
      <c r="Y184" s="97" t="s">
        <v>205</v>
      </c>
      <c r="Z184" s="97" t="s">
        <v>155</v>
      </c>
      <c r="AA184" s="97" t="s">
        <v>112</v>
      </c>
      <c r="AB184" s="97">
        <v>20</v>
      </c>
      <c r="AC184" s="97">
        <v>681</v>
      </c>
      <c r="AD184" s="97">
        <v>823</v>
      </c>
      <c r="AE184" s="97">
        <f t="shared" si="57"/>
        <v>13620</v>
      </c>
      <c r="AF184" s="97">
        <f t="shared" si="61"/>
        <v>16460</v>
      </c>
      <c r="AG184" s="97">
        <f t="shared" si="58"/>
        <v>2840</v>
      </c>
      <c r="AH184" s="97" t="str">
        <f t="shared" si="59"/>
        <v>profit</v>
      </c>
      <c r="AI184" s="100" t="b">
        <f t="shared" si="60"/>
        <v>0</v>
      </c>
    </row>
    <row r="185" spans="1:35" x14ac:dyDescent="0.3">
      <c r="A185" s="99">
        <v>45680</v>
      </c>
      <c r="B185" s="97" t="s">
        <v>192</v>
      </c>
      <c r="C185" s="19" t="s">
        <v>109</v>
      </c>
      <c r="D185" s="97" t="s">
        <v>131</v>
      </c>
      <c r="E185" s="97" t="s">
        <v>118</v>
      </c>
      <c r="F185" s="97" t="s">
        <v>112</v>
      </c>
      <c r="G185" s="97">
        <v>18</v>
      </c>
      <c r="H185" s="97">
        <v>963</v>
      </c>
      <c r="I185" s="97">
        <v>1178</v>
      </c>
      <c r="J185" s="97">
        <f t="shared" si="51"/>
        <v>17334</v>
      </c>
      <c r="K185" s="97">
        <f t="shared" si="52"/>
        <v>21204</v>
      </c>
      <c r="L185" s="97">
        <f t="shared" si="53"/>
        <v>3870</v>
      </c>
      <c r="M185" s="97" t="str">
        <f t="shared" si="54"/>
        <v>profit</v>
      </c>
      <c r="N185" s="100" t="b">
        <f t="shared" si="55"/>
        <v>0</v>
      </c>
      <c r="V185" s="99">
        <v>45527</v>
      </c>
      <c r="W185" s="97" t="s">
        <v>286</v>
      </c>
      <c r="X185" s="19" t="s">
        <v>139</v>
      </c>
      <c r="Y185" s="97" t="s">
        <v>205</v>
      </c>
      <c r="Z185" s="97" t="s">
        <v>151</v>
      </c>
      <c r="AA185" s="97" t="s">
        <v>112</v>
      </c>
      <c r="AB185" s="97">
        <v>23</v>
      </c>
      <c r="AC185" s="97">
        <v>577</v>
      </c>
      <c r="AD185" s="97">
        <v>1125</v>
      </c>
      <c r="AE185" s="97">
        <f t="shared" si="57"/>
        <v>13271</v>
      </c>
      <c r="AF185" s="97">
        <f t="shared" si="61"/>
        <v>25875</v>
      </c>
      <c r="AG185" s="97">
        <f t="shared" si="58"/>
        <v>12604</v>
      </c>
      <c r="AH185" s="97" t="str">
        <f t="shared" si="59"/>
        <v>profit</v>
      </c>
      <c r="AI185" s="100" t="b">
        <f t="shared" si="60"/>
        <v>0</v>
      </c>
    </row>
    <row r="186" spans="1:35" x14ac:dyDescent="0.3">
      <c r="A186" s="99">
        <v>45681</v>
      </c>
      <c r="B186" s="97" t="s">
        <v>193</v>
      </c>
      <c r="C186" s="19" t="s">
        <v>109</v>
      </c>
      <c r="D186" s="97" t="s">
        <v>131</v>
      </c>
      <c r="E186" s="97" t="s">
        <v>120</v>
      </c>
      <c r="F186" s="97" t="s">
        <v>112</v>
      </c>
      <c r="G186" s="97">
        <v>19</v>
      </c>
      <c r="H186" s="97">
        <v>763</v>
      </c>
      <c r="I186" s="97">
        <v>1036</v>
      </c>
      <c r="J186" s="97">
        <f t="shared" si="51"/>
        <v>14497</v>
      </c>
      <c r="K186" s="97">
        <f t="shared" si="52"/>
        <v>19684</v>
      </c>
      <c r="L186" s="97">
        <f t="shared" si="53"/>
        <v>5187</v>
      </c>
      <c r="M186" s="97" t="str">
        <f t="shared" si="54"/>
        <v>profit</v>
      </c>
      <c r="N186" s="100" t="b">
        <f t="shared" si="55"/>
        <v>0</v>
      </c>
      <c r="V186" s="99">
        <v>45589</v>
      </c>
      <c r="W186" s="97" t="s">
        <v>288</v>
      </c>
      <c r="X186" s="19" t="s">
        <v>139</v>
      </c>
      <c r="Y186" s="97" t="s">
        <v>220</v>
      </c>
      <c r="Z186" s="97" t="s">
        <v>151</v>
      </c>
      <c r="AA186" s="97" t="s">
        <v>112</v>
      </c>
      <c r="AB186" s="97">
        <v>28</v>
      </c>
      <c r="AC186" s="97">
        <v>537</v>
      </c>
      <c r="AD186" s="97">
        <v>828</v>
      </c>
      <c r="AE186" s="97">
        <f t="shared" si="57"/>
        <v>15036</v>
      </c>
      <c r="AF186" s="97">
        <f t="shared" si="61"/>
        <v>23184</v>
      </c>
      <c r="AG186" s="97">
        <f t="shared" si="58"/>
        <v>8148</v>
      </c>
      <c r="AH186" s="97" t="str">
        <f t="shared" si="59"/>
        <v>profit</v>
      </c>
      <c r="AI186" s="100" t="b">
        <f t="shared" si="60"/>
        <v>0</v>
      </c>
    </row>
    <row r="187" spans="1:35" x14ac:dyDescent="0.3">
      <c r="A187" s="99">
        <v>45682</v>
      </c>
      <c r="B187" s="97" t="s">
        <v>194</v>
      </c>
      <c r="C187" s="19" t="s">
        <v>109</v>
      </c>
      <c r="D187" s="97" t="s">
        <v>131</v>
      </c>
      <c r="E187" s="97" t="s">
        <v>120</v>
      </c>
      <c r="F187" s="97" t="s">
        <v>112</v>
      </c>
      <c r="G187" s="97">
        <v>19</v>
      </c>
      <c r="H187" s="97">
        <v>795</v>
      </c>
      <c r="I187" s="97">
        <v>1471</v>
      </c>
      <c r="J187" s="97">
        <f t="shared" si="51"/>
        <v>15105</v>
      </c>
      <c r="K187" s="97">
        <f t="shared" si="52"/>
        <v>27949</v>
      </c>
      <c r="L187" s="97">
        <f t="shared" si="53"/>
        <v>12844</v>
      </c>
      <c r="M187" s="97" t="str">
        <f t="shared" si="54"/>
        <v>profit</v>
      </c>
      <c r="N187" s="100" t="b">
        <f t="shared" si="55"/>
        <v>0</v>
      </c>
      <c r="V187" s="99">
        <v>45591</v>
      </c>
      <c r="W187" s="97" t="s">
        <v>289</v>
      </c>
      <c r="X187" s="19" t="s">
        <v>139</v>
      </c>
      <c r="Y187" s="97" t="s">
        <v>220</v>
      </c>
      <c r="Z187" s="97" t="s">
        <v>125</v>
      </c>
      <c r="AA187" s="97" t="s">
        <v>123</v>
      </c>
      <c r="AB187" s="97">
        <v>23</v>
      </c>
      <c r="AC187" s="97">
        <v>746</v>
      </c>
      <c r="AD187" s="97">
        <v>1410</v>
      </c>
      <c r="AE187" s="97">
        <f t="shared" si="57"/>
        <v>17158</v>
      </c>
      <c r="AF187" s="97">
        <f t="shared" si="61"/>
        <v>32430</v>
      </c>
      <c r="AG187" s="97">
        <f t="shared" si="58"/>
        <v>15272</v>
      </c>
      <c r="AH187" s="97" t="str">
        <f t="shared" si="59"/>
        <v>profit</v>
      </c>
      <c r="AI187" s="100" t="b">
        <f t="shared" si="60"/>
        <v>0</v>
      </c>
    </row>
    <row r="188" spans="1:35" x14ac:dyDescent="0.3">
      <c r="A188" s="99">
        <v>45684</v>
      </c>
      <c r="B188" s="97" t="s">
        <v>196</v>
      </c>
      <c r="C188" s="19" t="s">
        <v>109</v>
      </c>
      <c r="D188" s="97" t="s">
        <v>131</v>
      </c>
      <c r="E188" s="97" t="s">
        <v>125</v>
      </c>
      <c r="F188" s="97" t="s">
        <v>123</v>
      </c>
      <c r="G188" s="97">
        <v>16</v>
      </c>
      <c r="H188" s="97">
        <v>731</v>
      </c>
      <c r="I188" s="97">
        <v>1296</v>
      </c>
      <c r="J188" s="97">
        <f t="shared" si="51"/>
        <v>11696</v>
      </c>
      <c r="K188" s="97">
        <f t="shared" si="52"/>
        <v>20736</v>
      </c>
      <c r="L188" s="97">
        <f t="shared" si="53"/>
        <v>9040</v>
      </c>
      <c r="M188" s="97" t="str">
        <f t="shared" si="54"/>
        <v>profit</v>
      </c>
      <c r="N188" s="100" t="b">
        <f t="shared" si="55"/>
        <v>0</v>
      </c>
      <c r="V188" s="99">
        <v>45596</v>
      </c>
      <c r="W188" s="97" t="s">
        <v>290</v>
      </c>
      <c r="X188" s="19" t="s">
        <v>139</v>
      </c>
      <c r="Y188" s="97" t="s">
        <v>140</v>
      </c>
      <c r="Z188" s="97" t="s">
        <v>111</v>
      </c>
      <c r="AA188" s="97" t="s">
        <v>123</v>
      </c>
      <c r="AB188" s="97">
        <v>29</v>
      </c>
      <c r="AC188" s="97">
        <v>895</v>
      </c>
      <c r="AD188" s="97">
        <v>882</v>
      </c>
      <c r="AE188" s="97">
        <f t="shared" si="57"/>
        <v>25955</v>
      </c>
      <c r="AF188" s="97">
        <f t="shared" si="61"/>
        <v>25578</v>
      </c>
      <c r="AG188" s="97">
        <f t="shared" si="58"/>
        <v>-377</v>
      </c>
      <c r="AH188" s="97" t="str">
        <f t="shared" si="59"/>
        <v>loss</v>
      </c>
      <c r="AI188" s="100" t="b">
        <f t="shared" si="60"/>
        <v>0</v>
      </c>
    </row>
    <row r="189" spans="1:35" x14ac:dyDescent="0.3">
      <c r="A189" s="99">
        <v>45571</v>
      </c>
      <c r="B189" s="97" t="s">
        <v>217</v>
      </c>
      <c r="C189" s="19" t="s">
        <v>127</v>
      </c>
      <c r="D189" s="97" t="s">
        <v>186</v>
      </c>
      <c r="E189" s="97" t="s">
        <v>137</v>
      </c>
      <c r="F189" s="97" t="s">
        <v>112</v>
      </c>
      <c r="G189" s="97">
        <v>92</v>
      </c>
      <c r="H189" s="97">
        <v>923</v>
      </c>
      <c r="I189" s="97">
        <v>1151</v>
      </c>
      <c r="J189" s="97">
        <f t="shared" si="51"/>
        <v>84916</v>
      </c>
      <c r="K189" s="97">
        <f t="shared" si="52"/>
        <v>105892</v>
      </c>
      <c r="L189" s="97">
        <f t="shared" si="53"/>
        <v>20976</v>
      </c>
      <c r="M189" s="97" t="str">
        <f t="shared" si="54"/>
        <v>profit</v>
      </c>
      <c r="N189" s="100" t="b">
        <f t="shared" si="55"/>
        <v>1</v>
      </c>
      <c r="V189" s="99">
        <v>45597</v>
      </c>
      <c r="W189" s="97" t="s">
        <v>292</v>
      </c>
      <c r="X189" s="19" t="s">
        <v>139</v>
      </c>
      <c r="Y189" s="97" t="s">
        <v>140</v>
      </c>
      <c r="Z189" s="97" t="s">
        <v>115</v>
      </c>
      <c r="AA189" s="97" t="s">
        <v>123</v>
      </c>
      <c r="AB189" s="97">
        <v>26</v>
      </c>
      <c r="AC189" s="97">
        <v>728</v>
      </c>
      <c r="AD189" s="97">
        <v>1466</v>
      </c>
      <c r="AE189" s="97">
        <f t="shared" si="57"/>
        <v>18928</v>
      </c>
      <c r="AF189" s="97">
        <f t="shared" si="61"/>
        <v>38116</v>
      </c>
      <c r="AG189" s="97">
        <f t="shared" si="58"/>
        <v>19188</v>
      </c>
      <c r="AH189" s="97" t="str">
        <f t="shared" si="59"/>
        <v>profit</v>
      </c>
      <c r="AI189" s="100" t="b">
        <f t="shared" si="60"/>
        <v>0</v>
      </c>
    </row>
    <row r="190" spans="1:35" x14ac:dyDescent="0.3">
      <c r="A190" s="99">
        <v>45685</v>
      </c>
      <c r="B190" s="97" t="s">
        <v>197</v>
      </c>
      <c r="C190" s="19" t="s">
        <v>109</v>
      </c>
      <c r="D190" s="97" t="s">
        <v>131</v>
      </c>
      <c r="E190" s="97" t="s">
        <v>120</v>
      </c>
      <c r="F190" s="97" t="s">
        <v>123</v>
      </c>
      <c r="G190" s="97">
        <v>12</v>
      </c>
      <c r="H190" s="97">
        <v>927</v>
      </c>
      <c r="I190" s="97">
        <v>1162</v>
      </c>
      <c r="J190" s="97">
        <f t="shared" si="51"/>
        <v>11124</v>
      </c>
      <c r="K190" s="97">
        <f t="shared" si="52"/>
        <v>13944</v>
      </c>
      <c r="L190" s="97">
        <f t="shared" si="53"/>
        <v>2820</v>
      </c>
      <c r="M190" s="97" t="str">
        <f t="shared" si="54"/>
        <v>profit</v>
      </c>
      <c r="N190" s="100" t="b">
        <f t="shared" si="55"/>
        <v>0</v>
      </c>
      <c r="V190" s="99">
        <v>45598</v>
      </c>
      <c r="W190" s="97" t="s">
        <v>294</v>
      </c>
      <c r="X190" s="19" t="s">
        <v>139</v>
      </c>
      <c r="Y190" s="97" t="s">
        <v>140</v>
      </c>
      <c r="Z190" s="97" t="s">
        <v>118</v>
      </c>
      <c r="AA190" s="97" t="s">
        <v>123</v>
      </c>
      <c r="AB190" s="97">
        <v>22</v>
      </c>
      <c r="AC190" s="97">
        <v>586</v>
      </c>
      <c r="AD190" s="97">
        <v>1206</v>
      </c>
      <c r="AE190" s="97">
        <f t="shared" si="57"/>
        <v>12892</v>
      </c>
      <c r="AF190" s="97">
        <f t="shared" si="61"/>
        <v>26532</v>
      </c>
      <c r="AG190" s="97">
        <f t="shared" si="58"/>
        <v>13640</v>
      </c>
      <c r="AH190" s="97" t="str">
        <f t="shared" si="59"/>
        <v>profit</v>
      </c>
      <c r="AI190" s="100" t="b">
        <f t="shared" si="60"/>
        <v>0</v>
      </c>
    </row>
    <row r="191" spans="1:35" x14ac:dyDescent="0.3">
      <c r="A191" s="99">
        <v>45686</v>
      </c>
      <c r="B191" s="97" t="s">
        <v>198</v>
      </c>
      <c r="C191" s="19" t="s">
        <v>109</v>
      </c>
      <c r="D191" s="97" t="s">
        <v>131</v>
      </c>
      <c r="E191" s="97" t="s">
        <v>133</v>
      </c>
      <c r="F191" s="97" t="s">
        <v>123</v>
      </c>
      <c r="G191" s="97">
        <v>13</v>
      </c>
      <c r="H191" s="97">
        <v>528</v>
      </c>
      <c r="I191" s="97">
        <v>1175</v>
      </c>
      <c r="J191" s="97">
        <f t="shared" si="51"/>
        <v>6864</v>
      </c>
      <c r="K191" s="97">
        <f t="shared" si="52"/>
        <v>15275</v>
      </c>
      <c r="L191" s="97">
        <f t="shared" si="53"/>
        <v>8411</v>
      </c>
      <c r="M191" s="97" t="str">
        <f t="shared" si="54"/>
        <v>profit</v>
      </c>
      <c r="N191" s="100" t="b">
        <f t="shared" si="55"/>
        <v>0</v>
      </c>
      <c r="V191" s="99">
        <v>45599</v>
      </c>
      <c r="W191" s="97" t="s">
        <v>295</v>
      </c>
      <c r="X191" s="19" t="s">
        <v>139</v>
      </c>
      <c r="Y191" s="97" t="s">
        <v>140</v>
      </c>
      <c r="Z191" s="97" t="s">
        <v>120</v>
      </c>
      <c r="AA191" s="97" t="s">
        <v>112</v>
      </c>
      <c r="AB191" s="97">
        <v>29</v>
      </c>
      <c r="AC191" s="97">
        <v>724</v>
      </c>
      <c r="AD191" s="97">
        <v>858</v>
      </c>
      <c r="AE191" s="97">
        <f t="shared" si="57"/>
        <v>20996</v>
      </c>
      <c r="AF191" s="97">
        <f t="shared" si="61"/>
        <v>24882</v>
      </c>
      <c r="AG191" s="97">
        <f t="shared" si="58"/>
        <v>3886</v>
      </c>
      <c r="AH191" s="97" t="str">
        <f t="shared" si="59"/>
        <v>profit</v>
      </c>
      <c r="AI191" s="100" t="b">
        <f t="shared" si="60"/>
        <v>1</v>
      </c>
    </row>
    <row r="192" spans="1:35" x14ac:dyDescent="0.3">
      <c r="A192" s="99">
        <v>45688</v>
      </c>
      <c r="B192" s="97" t="s">
        <v>199</v>
      </c>
      <c r="C192" s="19" t="s">
        <v>109</v>
      </c>
      <c r="D192" s="97" t="s">
        <v>131</v>
      </c>
      <c r="E192" s="97" t="s">
        <v>200</v>
      </c>
      <c r="F192" s="97" t="s">
        <v>123</v>
      </c>
      <c r="G192" s="97">
        <v>16</v>
      </c>
      <c r="H192" s="97">
        <v>998</v>
      </c>
      <c r="I192" s="97">
        <v>835</v>
      </c>
      <c r="J192" s="97">
        <f t="shared" si="51"/>
        <v>15968</v>
      </c>
      <c r="K192" s="97">
        <f t="shared" si="52"/>
        <v>13360</v>
      </c>
      <c r="L192" s="97">
        <f t="shared" si="53"/>
        <v>-2608</v>
      </c>
      <c r="M192" s="97" t="str">
        <f t="shared" si="54"/>
        <v>loss</v>
      </c>
      <c r="N192" s="100" t="b">
        <f t="shared" si="55"/>
        <v>0</v>
      </c>
      <c r="V192" s="99">
        <v>45600</v>
      </c>
      <c r="W192" s="97" t="s">
        <v>296</v>
      </c>
      <c r="X192" s="19" t="s">
        <v>139</v>
      </c>
      <c r="Y192" s="97" t="s">
        <v>140</v>
      </c>
      <c r="Z192" s="97" t="s">
        <v>120</v>
      </c>
      <c r="AA192" s="97" t="s">
        <v>112</v>
      </c>
      <c r="AB192" s="97">
        <v>20</v>
      </c>
      <c r="AC192" s="97">
        <v>941</v>
      </c>
      <c r="AD192" s="97">
        <v>1181</v>
      </c>
      <c r="AE192" s="97">
        <f t="shared" si="57"/>
        <v>18820</v>
      </c>
      <c r="AF192" s="97">
        <f t="shared" si="61"/>
        <v>23620</v>
      </c>
      <c r="AG192" s="97">
        <f t="shared" si="58"/>
        <v>4800</v>
      </c>
      <c r="AH192" s="97" t="str">
        <f t="shared" si="59"/>
        <v>profit</v>
      </c>
      <c r="AI192" s="100" t="b">
        <f t="shared" si="60"/>
        <v>0</v>
      </c>
    </row>
    <row r="193" spans="1:35" x14ac:dyDescent="0.3">
      <c r="A193" s="99">
        <v>45383</v>
      </c>
      <c r="B193" s="97" t="s">
        <v>218</v>
      </c>
      <c r="C193" s="19" t="s">
        <v>139</v>
      </c>
      <c r="D193" s="97" t="s">
        <v>140</v>
      </c>
      <c r="E193" s="97" t="s">
        <v>161</v>
      </c>
      <c r="F193" s="97" t="s">
        <v>123</v>
      </c>
      <c r="G193" s="97">
        <v>29</v>
      </c>
      <c r="H193" s="97">
        <v>924</v>
      </c>
      <c r="I193" s="97">
        <v>1101</v>
      </c>
      <c r="J193" s="97">
        <f t="shared" ref="J193:J256" si="62">G193*H193</f>
        <v>26796</v>
      </c>
      <c r="K193" s="97">
        <f t="shared" ref="K193:K256" si="63">G193*I193</f>
        <v>31929</v>
      </c>
      <c r="L193" s="97">
        <f t="shared" ref="L193:L256" si="64">K193-J193</f>
        <v>5133</v>
      </c>
      <c r="M193" s="97" t="str">
        <f t="shared" si="54"/>
        <v>profit</v>
      </c>
      <c r="N193" s="100" t="b">
        <f t="shared" si="55"/>
        <v>1</v>
      </c>
      <c r="V193" s="99">
        <v>45601</v>
      </c>
      <c r="W193" s="97" t="s">
        <v>297</v>
      </c>
      <c r="X193" s="19" t="s">
        <v>139</v>
      </c>
      <c r="Y193" s="97" t="s">
        <v>140</v>
      </c>
      <c r="Z193" s="97" t="s">
        <v>122</v>
      </c>
      <c r="AA193" s="97" t="s">
        <v>112</v>
      </c>
      <c r="AB193" s="97">
        <v>22</v>
      </c>
      <c r="AC193" s="97">
        <v>618</v>
      </c>
      <c r="AD193" s="97">
        <v>1373</v>
      </c>
      <c r="AE193" s="97">
        <f t="shared" si="57"/>
        <v>13596</v>
      </c>
      <c r="AF193" s="97">
        <f t="shared" si="61"/>
        <v>30206</v>
      </c>
      <c r="AG193" s="97">
        <f t="shared" si="58"/>
        <v>16610</v>
      </c>
      <c r="AH193" s="97" t="str">
        <f t="shared" si="59"/>
        <v>profit</v>
      </c>
      <c r="AI193" s="100" t="b">
        <f t="shared" si="60"/>
        <v>0</v>
      </c>
    </row>
    <row r="194" spans="1:35" x14ac:dyDescent="0.3">
      <c r="A194" s="99">
        <v>45384</v>
      </c>
      <c r="B194" s="97" t="s">
        <v>219</v>
      </c>
      <c r="C194" s="19" t="s">
        <v>139</v>
      </c>
      <c r="D194" s="97" t="s">
        <v>220</v>
      </c>
      <c r="E194" s="97" t="s">
        <v>137</v>
      </c>
      <c r="F194" s="97" t="s">
        <v>123</v>
      </c>
      <c r="G194" s="97">
        <v>30</v>
      </c>
      <c r="H194" s="97">
        <v>817</v>
      </c>
      <c r="I194" s="97">
        <v>1334</v>
      </c>
      <c r="J194" s="97">
        <f t="shared" si="62"/>
        <v>24510</v>
      </c>
      <c r="K194" s="97">
        <f t="shared" si="63"/>
        <v>40020</v>
      </c>
      <c r="L194" s="97">
        <f t="shared" si="64"/>
        <v>15510</v>
      </c>
      <c r="M194" s="97" t="str">
        <f t="shared" ref="M194:M257" si="65">IF(L194&gt;0,"profit","loss")</f>
        <v>profit</v>
      </c>
      <c r="N194" s="100" t="b">
        <f t="shared" ref="N194:N257" si="66">AND(L194&gt;0,J194&gt;20000)</f>
        <v>1</v>
      </c>
      <c r="V194" s="99">
        <v>45609</v>
      </c>
      <c r="W194" s="97" t="s">
        <v>299</v>
      </c>
      <c r="X194" s="19" t="s">
        <v>139</v>
      </c>
      <c r="Y194" s="97" t="s">
        <v>154</v>
      </c>
      <c r="Z194" s="97" t="s">
        <v>166</v>
      </c>
      <c r="AA194" s="97" t="s">
        <v>123</v>
      </c>
      <c r="AB194" s="97">
        <v>28</v>
      </c>
      <c r="AC194" s="97">
        <v>896</v>
      </c>
      <c r="AD194" s="97">
        <v>1363</v>
      </c>
      <c r="AE194" s="97">
        <f t="shared" si="57"/>
        <v>25088</v>
      </c>
      <c r="AF194" s="97">
        <f t="shared" si="61"/>
        <v>38164</v>
      </c>
      <c r="AG194" s="97">
        <f t="shared" si="58"/>
        <v>13076</v>
      </c>
      <c r="AH194" s="97" t="str">
        <f t="shared" si="59"/>
        <v>profit</v>
      </c>
      <c r="AI194" s="100" t="b">
        <f t="shared" si="60"/>
        <v>1</v>
      </c>
    </row>
    <row r="195" spans="1:35" x14ac:dyDescent="0.3">
      <c r="A195" s="99">
        <v>45385</v>
      </c>
      <c r="B195" s="97" t="s">
        <v>221</v>
      </c>
      <c r="C195" s="19" t="s">
        <v>139</v>
      </c>
      <c r="D195" s="97" t="s">
        <v>220</v>
      </c>
      <c r="E195" s="97" t="s">
        <v>120</v>
      </c>
      <c r="F195" s="97" t="s">
        <v>123</v>
      </c>
      <c r="G195" s="97">
        <v>23</v>
      </c>
      <c r="H195" s="97">
        <v>753</v>
      </c>
      <c r="I195" s="97">
        <v>987</v>
      </c>
      <c r="J195" s="97">
        <f t="shared" si="62"/>
        <v>17319</v>
      </c>
      <c r="K195" s="97">
        <f t="shared" si="63"/>
        <v>22701</v>
      </c>
      <c r="L195" s="97">
        <f t="shared" si="64"/>
        <v>5382</v>
      </c>
      <c r="M195" s="97" t="str">
        <f t="shared" si="65"/>
        <v>profit</v>
      </c>
      <c r="N195" s="100" t="b">
        <f t="shared" si="66"/>
        <v>0</v>
      </c>
      <c r="V195" s="99">
        <v>45611</v>
      </c>
      <c r="W195" s="97" t="s">
        <v>300</v>
      </c>
      <c r="X195" s="19" t="s">
        <v>139</v>
      </c>
      <c r="Y195" s="97" t="s">
        <v>154</v>
      </c>
      <c r="Z195" s="97" t="s">
        <v>129</v>
      </c>
      <c r="AA195" s="97" t="s">
        <v>123</v>
      </c>
      <c r="AB195" s="97">
        <v>28</v>
      </c>
      <c r="AC195" s="97">
        <v>986</v>
      </c>
      <c r="AD195" s="97">
        <v>866</v>
      </c>
      <c r="AE195" s="97">
        <f t="shared" si="57"/>
        <v>27608</v>
      </c>
      <c r="AF195" s="97">
        <f t="shared" si="61"/>
        <v>24248</v>
      </c>
      <c r="AG195" s="97">
        <f t="shared" si="58"/>
        <v>-3360</v>
      </c>
      <c r="AH195" s="97" t="str">
        <f t="shared" si="59"/>
        <v>loss</v>
      </c>
      <c r="AI195" s="100" t="b">
        <f t="shared" si="60"/>
        <v>0</v>
      </c>
    </row>
    <row r="196" spans="1:35" x14ac:dyDescent="0.3">
      <c r="A196" s="99">
        <v>45578</v>
      </c>
      <c r="B196" s="97" t="s">
        <v>222</v>
      </c>
      <c r="C196" s="19" t="s">
        <v>127</v>
      </c>
      <c r="D196" s="97" t="s">
        <v>207</v>
      </c>
      <c r="E196" s="97" t="s">
        <v>120</v>
      </c>
      <c r="F196" s="97" t="s">
        <v>123</v>
      </c>
      <c r="G196" s="97">
        <v>57</v>
      </c>
      <c r="H196" s="97">
        <v>927</v>
      </c>
      <c r="I196" s="97">
        <v>1477</v>
      </c>
      <c r="J196" s="97">
        <f t="shared" si="62"/>
        <v>52839</v>
      </c>
      <c r="K196" s="97">
        <f t="shared" si="63"/>
        <v>84189</v>
      </c>
      <c r="L196" s="97">
        <f t="shared" si="64"/>
        <v>31350</v>
      </c>
      <c r="M196" s="97" t="str">
        <f t="shared" si="65"/>
        <v>profit</v>
      </c>
      <c r="N196" s="100" t="b">
        <f t="shared" si="66"/>
        <v>1</v>
      </c>
      <c r="V196" s="99">
        <v>45612</v>
      </c>
      <c r="W196" s="97" t="s">
        <v>301</v>
      </c>
      <c r="X196" s="19" t="s">
        <v>139</v>
      </c>
      <c r="Y196" s="97" t="s">
        <v>154</v>
      </c>
      <c r="Z196" s="97" t="s">
        <v>137</v>
      </c>
      <c r="AA196" s="97" t="s">
        <v>123</v>
      </c>
      <c r="AB196" s="97">
        <v>27</v>
      </c>
      <c r="AC196" s="97">
        <v>951</v>
      </c>
      <c r="AD196" s="97">
        <v>1255</v>
      </c>
      <c r="AE196" s="97">
        <f t="shared" si="57"/>
        <v>25677</v>
      </c>
      <c r="AF196" s="97">
        <f t="shared" si="61"/>
        <v>33885</v>
      </c>
      <c r="AG196" s="97">
        <f t="shared" si="58"/>
        <v>8208</v>
      </c>
      <c r="AH196" s="97" t="str">
        <f t="shared" si="59"/>
        <v>profit</v>
      </c>
      <c r="AI196" s="100" t="b">
        <f t="shared" si="60"/>
        <v>1</v>
      </c>
    </row>
    <row r="197" spans="1:35" x14ac:dyDescent="0.3">
      <c r="A197" s="99">
        <v>45386</v>
      </c>
      <c r="B197" s="97" t="s">
        <v>223</v>
      </c>
      <c r="C197" s="19" t="s">
        <v>139</v>
      </c>
      <c r="D197" s="97" t="s">
        <v>220</v>
      </c>
      <c r="E197" s="97" t="s">
        <v>155</v>
      </c>
      <c r="F197" s="97" t="s">
        <v>123</v>
      </c>
      <c r="G197" s="97">
        <v>26</v>
      </c>
      <c r="H197" s="97">
        <v>809</v>
      </c>
      <c r="I197" s="97">
        <v>800</v>
      </c>
      <c r="J197" s="97">
        <f t="shared" si="62"/>
        <v>21034</v>
      </c>
      <c r="K197" s="97">
        <f t="shared" si="63"/>
        <v>20800</v>
      </c>
      <c r="L197" s="97">
        <f t="shared" si="64"/>
        <v>-234</v>
      </c>
      <c r="M197" s="97" t="str">
        <f t="shared" si="65"/>
        <v>loss</v>
      </c>
      <c r="N197" s="100" t="b">
        <f t="shared" si="66"/>
        <v>0</v>
      </c>
      <c r="V197" s="99">
        <v>45432</v>
      </c>
      <c r="W197" s="97" t="s">
        <v>185</v>
      </c>
      <c r="X197" s="19" t="s">
        <v>127</v>
      </c>
      <c r="Y197" s="97" t="s">
        <v>186</v>
      </c>
      <c r="Z197" s="97" t="s">
        <v>129</v>
      </c>
      <c r="AA197" s="97" t="s">
        <v>123</v>
      </c>
      <c r="AB197" s="97">
        <v>63</v>
      </c>
      <c r="AC197" s="97">
        <v>929</v>
      </c>
      <c r="AD197" s="97">
        <v>1320</v>
      </c>
      <c r="AE197" s="97">
        <f t="shared" si="57"/>
        <v>58527</v>
      </c>
      <c r="AF197" s="97">
        <f t="shared" si="61"/>
        <v>83160</v>
      </c>
      <c r="AG197" s="97">
        <f t="shared" si="58"/>
        <v>24633</v>
      </c>
      <c r="AH197" s="97" t="str">
        <f t="shared" si="59"/>
        <v>profit</v>
      </c>
      <c r="AI197" s="100" t="b">
        <f t="shared" si="60"/>
        <v>1</v>
      </c>
    </row>
    <row r="198" spans="1:35" x14ac:dyDescent="0.3">
      <c r="A198" s="99">
        <v>45391</v>
      </c>
      <c r="B198" s="97" t="s">
        <v>224</v>
      </c>
      <c r="C198" s="19" t="s">
        <v>139</v>
      </c>
      <c r="D198" s="97" t="s">
        <v>140</v>
      </c>
      <c r="E198" s="97" t="s">
        <v>151</v>
      </c>
      <c r="F198" s="97" t="s">
        <v>112</v>
      </c>
      <c r="G198" s="97">
        <v>23</v>
      </c>
      <c r="H198" s="97">
        <v>852</v>
      </c>
      <c r="I198" s="97">
        <v>1480</v>
      </c>
      <c r="J198" s="97">
        <f t="shared" si="62"/>
        <v>19596</v>
      </c>
      <c r="K198" s="97">
        <f t="shared" si="63"/>
        <v>34040</v>
      </c>
      <c r="L198" s="97">
        <f t="shared" si="64"/>
        <v>14444</v>
      </c>
      <c r="M198" s="97" t="str">
        <f t="shared" si="65"/>
        <v>profit</v>
      </c>
      <c r="N198" s="100" t="b">
        <f t="shared" si="66"/>
        <v>0</v>
      </c>
      <c r="V198" s="99">
        <v>45613</v>
      </c>
      <c r="W198" s="97" t="s">
        <v>302</v>
      </c>
      <c r="X198" s="19" t="s">
        <v>139</v>
      </c>
      <c r="Y198" s="97" t="s">
        <v>154</v>
      </c>
      <c r="Z198" s="97" t="s">
        <v>151</v>
      </c>
      <c r="AA198" s="97" t="s">
        <v>123</v>
      </c>
      <c r="AB198" s="97">
        <v>22</v>
      </c>
      <c r="AC198" s="97">
        <v>783</v>
      </c>
      <c r="AD198" s="97">
        <v>886</v>
      </c>
      <c r="AE198" s="97">
        <f t="shared" si="57"/>
        <v>17226</v>
      </c>
      <c r="AF198" s="97">
        <f t="shared" si="61"/>
        <v>19492</v>
      </c>
      <c r="AG198" s="97">
        <f t="shared" si="58"/>
        <v>2266</v>
      </c>
      <c r="AH198" s="97" t="str">
        <f t="shared" si="59"/>
        <v>profit</v>
      </c>
      <c r="AI198" s="100" t="b">
        <f t="shared" si="60"/>
        <v>0</v>
      </c>
    </row>
    <row r="199" spans="1:35" x14ac:dyDescent="0.3">
      <c r="A199" s="99">
        <v>45392</v>
      </c>
      <c r="B199" s="97" t="s">
        <v>225</v>
      </c>
      <c r="C199" s="19" t="s">
        <v>139</v>
      </c>
      <c r="D199" s="97" t="s">
        <v>140</v>
      </c>
      <c r="E199" s="97" t="s">
        <v>129</v>
      </c>
      <c r="F199" s="97" t="s">
        <v>112</v>
      </c>
      <c r="G199" s="97">
        <v>24</v>
      </c>
      <c r="H199" s="97">
        <v>903</v>
      </c>
      <c r="I199" s="97">
        <v>1338</v>
      </c>
      <c r="J199" s="97">
        <f t="shared" si="62"/>
        <v>21672</v>
      </c>
      <c r="K199" s="97">
        <f t="shared" si="63"/>
        <v>32112</v>
      </c>
      <c r="L199" s="97">
        <f t="shared" si="64"/>
        <v>10440</v>
      </c>
      <c r="M199" s="97" t="str">
        <f t="shared" si="65"/>
        <v>profit</v>
      </c>
      <c r="N199" s="100" t="b">
        <f t="shared" si="66"/>
        <v>1</v>
      </c>
      <c r="V199" s="99">
        <v>45615</v>
      </c>
      <c r="W199" s="97" t="s">
        <v>303</v>
      </c>
      <c r="X199" s="19" t="s">
        <v>139</v>
      </c>
      <c r="Y199" s="97" t="s">
        <v>154</v>
      </c>
      <c r="Z199" s="97" t="s">
        <v>133</v>
      </c>
      <c r="AA199" s="97" t="s">
        <v>112</v>
      </c>
      <c r="AB199" s="97">
        <v>21</v>
      </c>
      <c r="AC199" s="97">
        <v>547</v>
      </c>
      <c r="AD199" s="97">
        <v>784</v>
      </c>
      <c r="AE199" s="97">
        <f t="shared" si="57"/>
        <v>11487</v>
      </c>
      <c r="AF199" s="97">
        <f t="shared" si="61"/>
        <v>16464</v>
      </c>
      <c r="AG199" s="97">
        <f t="shared" si="58"/>
        <v>4977</v>
      </c>
      <c r="AH199" s="97" t="str">
        <f t="shared" si="59"/>
        <v>profit</v>
      </c>
      <c r="AI199" s="100" t="b">
        <f t="shared" si="60"/>
        <v>0</v>
      </c>
    </row>
    <row r="200" spans="1:35" x14ac:dyDescent="0.3">
      <c r="A200" s="99">
        <v>45393</v>
      </c>
      <c r="B200" s="97" t="s">
        <v>226</v>
      </c>
      <c r="C200" s="19" t="s">
        <v>139</v>
      </c>
      <c r="D200" s="97" t="s">
        <v>140</v>
      </c>
      <c r="E200" s="97" t="s">
        <v>133</v>
      </c>
      <c r="F200" s="97" t="s">
        <v>112</v>
      </c>
      <c r="G200" s="97">
        <v>21</v>
      </c>
      <c r="H200" s="97">
        <v>829</v>
      </c>
      <c r="I200" s="97">
        <v>950</v>
      </c>
      <c r="J200" s="97">
        <f t="shared" si="62"/>
        <v>17409</v>
      </c>
      <c r="K200" s="97" t="s">
        <v>340</v>
      </c>
      <c r="L200" s="97" t="e">
        <f t="shared" si="64"/>
        <v>#VALUE!</v>
      </c>
      <c r="M200" s="97" t="e">
        <f t="shared" si="65"/>
        <v>#VALUE!</v>
      </c>
      <c r="N200" s="100" t="e">
        <f t="shared" si="66"/>
        <v>#VALUE!</v>
      </c>
      <c r="V200" s="99">
        <v>45617</v>
      </c>
      <c r="W200" s="97" t="s">
        <v>304</v>
      </c>
      <c r="X200" s="19" t="s">
        <v>139</v>
      </c>
      <c r="Y200" s="97" t="s">
        <v>154</v>
      </c>
      <c r="Z200" s="97" t="s">
        <v>137</v>
      </c>
      <c r="AA200" s="97" t="s">
        <v>123</v>
      </c>
      <c r="AB200" s="97">
        <v>20</v>
      </c>
      <c r="AC200" s="97">
        <v>737</v>
      </c>
      <c r="AD200" s="97">
        <v>932</v>
      </c>
      <c r="AE200" s="97">
        <f t="shared" si="57"/>
        <v>14740</v>
      </c>
      <c r="AF200" s="97">
        <f t="shared" si="61"/>
        <v>18640</v>
      </c>
      <c r="AG200" s="97">
        <f t="shared" si="58"/>
        <v>3900</v>
      </c>
      <c r="AH200" s="97" t="str">
        <f t="shared" si="59"/>
        <v>profit</v>
      </c>
      <c r="AI200" s="100" t="b">
        <f t="shared" si="60"/>
        <v>0</v>
      </c>
    </row>
    <row r="201" spans="1:35" x14ac:dyDescent="0.3">
      <c r="A201" s="99">
        <v>45583</v>
      </c>
      <c r="B201" s="97" t="s">
        <v>227</v>
      </c>
      <c r="C201" s="19" t="s">
        <v>109</v>
      </c>
      <c r="D201" s="97" t="s">
        <v>131</v>
      </c>
      <c r="E201" s="97" t="s">
        <v>146</v>
      </c>
      <c r="F201" s="97" t="s">
        <v>112</v>
      </c>
      <c r="G201" s="97">
        <v>16</v>
      </c>
      <c r="H201" s="97">
        <v>584</v>
      </c>
      <c r="I201" s="97">
        <v>1278</v>
      </c>
      <c r="J201" s="97">
        <f t="shared" si="62"/>
        <v>9344</v>
      </c>
      <c r="K201" s="97">
        <f t="shared" si="63"/>
        <v>20448</v>
      </c>
      <c r="L201" s="97">
        <f t="shared" si="64"/>
        <v>11104</v>
      </c>
      <c r="M201" s="97" t="str">
        <f t="shared" si="65"/>
        <v>profit</v>
      </c>
      <c r="N201" s="100" t="b">
        <f t="shared" si="66"/>
        <v>0</v>
      </c>
      <c r="V201" s="99">
        <v>45618</v>
      </c>
      <c r="W201" s="97" t="s">
        <v>306</v>
      </c>
      <c r="X201" s="19" t="s">
        <v>139</v>
      </c>
      <c r="Y201" s="97" t="s">
        <v>154</v>
      </c>
      <c r="Z201" s="97" t="s">
        <v>122</v>
      </c>
      <c r="AA201" s="97" t="s">
        <v>123</v>
      </c>
      <c r="AB201" s="97">
        <v>25</v>
      </c>
      <c r="AC201" s="97">
        <v>924</v>
      </c>
      <c r="AD201" s="97">
        <v>1062</v>
      </c>
      <c r="AE201" s="97">
        <f t="shared" ref="AE201:AE264" si="67">AB201*AC201</f>
        <v>23100</v>
      </c>
      <c r="AF201" s="97">
        <f t="shared" si="61"/>
        <v>26550</v>
      </c>
      <c r="AG201" s="97">
        <f t="shared" ref="AG201:AG264" si="68">AF201-AE201</f>
        <v>3450</v>
      </c>
      <c r="AH201" s="97" t="str">
        <f t="shared" si="59"/>
        <v>profit</v>
      </c>
      <c r="AI201" s="100" t="b">
        <f t="shared" si="60"/>
        <v>1</v>
      </c>
    </row>
    <row r="202" spans="1:35" x14ac:dyDescent="0.3">
      <c r="A202" s="99">
        <v>45394</v>
      </c>
      <c r="B202" s="97" t="s">
        <v>228</v>
      </c>
      <c r="C202" s="19" t="s">
        <v>139</v>
      </c>
      <c r="D202" s="97" t="s">
        <v>140</v>
      </c>
      <c r="E202" s="97" t="s">
        <v>133</v>
      </c>
      <c r="F202" s="97" t="s">
        <v>112</v>
      </c>
      <c r="G202" s="97">
        <v>20</v>
      </c>
      <c r="H202" s="97">
        <v>557</v>
      </c>
      <c r="I202" s="97">
        <v>1002</v>
      </c>
      <c r="J202" s="97">
        <f t="shared" si="62"/>
        <v>11140</v>
      </c>
      <c r="K202" s="97">
        <f t="shared" si="63"/>
        <v>20040</v>
      </c>
      <c r="L202" s="97">
        <f t="shared" si="64"/>
        <v>8900</v>
      </c>
      <c r="M202" s="97" t="str">
        <f t="shared" si="65"/>
        <v>profit</v>
      </c>
      <c r="N202" s="100" t="b">
        <f t="shared" si="66"/>
        <v>0</v>
      </c>
      <c r="V202" s="99">
        <v>45619</v>
      </c>
      <c r="W202" s="97" t="s">
        <v>308</v>
      </c>
      <c r="X202" s="19" t="s">
        <v>139</v>
      </c>
      <c r="Y202" s="97" t="s">
        <v>154</v>
      </c>
      <c r="Z202" s="97" t="s">
        <v>137</v>
      </c>
      <c r="AA202" s="97" t="s">
        <v>123</v>
      </c>
      <c r="AB202" s="97">
        <v>28</v>
      </c>
      <c r="AC202" s="97">
        <v>665</v>
      </c>
      <c r="AD202" s="97">
        <v>1467</v>
      </c>
      <c r="AE202" s="97">
        <f t="shared" si="67"/>
        <v>18620</v>
      </c>
      <c r="AF202" s="97">
        <f t="shared" si="61"/>
        <v>41076</v>
      </c>
      <c r="AG202" s="97">
        <f t="shared" si="68"/>
        <v>22456</v>
      </c>
      <c r="AH202" s="97" t="str">
        <f t="shared" ref="AH202:AH265" si="69">IF(AG202&gt;0,"profit","loss")</f>
        <v>profit</v>
      </c>
      <c r="AI202" s="100" t="b">
        <f t="shared" ref="AI202:AI265" si="70">AND(AG202&gt;0,AE202&gt;20000)</f>
        <v>0</v>
      </c>
    </row>
    <row r="203" spans="1:35" x14ac:dyDescent="0.3">
      <c r="A203" s="99">
        <v>45396</v>
      </c>
      <c r="B203" s="97" t="s">
        <v>229</v>
      </c>
      <c r="C203" s="19" t="s">
        <v>139</v>
      </c>
      <c r="D203" s="97" t="s">
        <v>140</v>
      </c>
      <c r="E203" s="97" t="s">
        <v>122</v>
      </c>
      <c r="F203" s="97" t="s">
        <v>112</v>
      </c>
      <c r="G203" s="97">
        <v>20</v>
      </c>
      <c r="H203" s="97">
        <v>648</v>
      </c>
      <c r="I203" s="97">
        <v>1106</v>
      </c>
      <c r="J203" s="97">
        <f t="shared" si="62"/>
        <v>12960</v>
      </c>
      <c r="K203" s="97">
        <f t="shared" si="63"/>
        <v>22120</v>
      </c>
      <c r="L203" s="97">
        <f t="shared" si="64"/>
        <v>9160</v>
      </c>
      <c r="M203" s="97" t="str">
        <f t="shared" si="65"/>
        <v>profit</v>
      </c>
      <c r="N203" s="100" t="b">
        <f t="shared" si="66"/>
        <v>0</v>
      </c>
      <c r="V203" s="99">
        <v>45620</v>
      </c>
      <c r="W203" s="97" t="s">
        <v>310</v>
      </c>
      <c r="X203" s="19" t="s">
        <v>139</v>
      </c>
      <c r="Y203" s="97" t="s">
        <v>154</v>
      </c>
      <c r="Z203" s="97" t="s">
        <v>142</v>
      </c>
      <c r="AA203" s="97" t="s">
        <v>123</v>
      </c>
      <c r="AB203" s="97">
        <v>24</v>
      </c>
      <c r="AC203" s="97">
        <v>839</v>
      </c>
      <c r="AD203" s="97">
        <v>1092</v>
      </c>
      <c r="AE203" s="97">
        <f t="shared" si="67"/>
        <v>20136</v>
      </c>
      <c r="AF203" s="97">
        <f t="shared" si="61"/>
        <v>26208</v>
      </c>
      <c r="AG203" s="97">
        <f t="shared" si="68"/>
        <v>6072</v>
      </c>
      <c r="AH203" s="97" t="str">
        <f t="shared" si="69"/>
        <v>profit</v>
      </c>
      <c r="AI203" s="100" t="b">
        <f t="shared" si="70"/>
        <v>1</v>
      </c>
    </row>
    <row r="204" spans="1:35" x14ac:dyDescent="0.3">
      <c r="A204" s="99">
        <v>45586</v>
      </c>
      <c r="B204" s="97" t="s">
        <v>230</v>
      </c>
      <c r="C204" s="19" t="s">
        <v>109</v>
      </c>
      <c r="D204" s="97" t="s">
        <v>131</v>
      </c>
      <c r="E204" s="97" t="s">
        <v>133</v>
      </c>
      <c r="F204" s="97" t="s">
        <v>112</v>
      </c>
      <c r="G204" s="97">
        <v>19</v>
      </c>
      <c r="H204" s="97">
        <v>589</v>
      </c>
      <c r="I204" s="97">
        <v>1100</v>
      </c>
      <c r="J204" s="97">
        <f t="shared" si="62"/>
        <v>11191</v>
      </c>
      <c r="K204" s="97">
        <f t="shared" si="63"/>
        <v>20900</v>
      </c>
      <c r="L204" s="97">
        <f t="shared" si="64"/>
        <v>9709</v>
      </c>
      <c r="M204" s="97" t="str">
        <f t="shared" si="65"/>
        <v>profit</v>
      </c>
      <c r="N204" s="100" t="b">
        <f t="shared" si="66"/>
        <v>0</v>
      </c>
      <c r="V204" s="99">
        <v>45621</v>
      </c>
      <c r="W204" s="97" t="s">
        <v>311</v>
      </c>
      <c r="X204" s="19" t="s">
        <v>139</v>
      </c>
      <c r="Y204" s="97" t="s">
        <v>154</v>
      </c>
      <c r="Z204" s="97" t="s">
        <v>122</v>
      </c>
      <c r="AA204" s="97" t="s">
        <v>123</v>
      </c>
      <c r="AB204" s="97">
        <v>30</v>
      </c>
      <c r="AC204" s="97">
        <v>790</v>
      </c>
      <c r="AD204" s="97">
        <v>1245</v>
      </c>
      <c r="AE204" s="97">
        <f t="shared" si="67"/>
        <v>23700</v>
      </c>
      <c r="AF204" s="97">
        <f t="shared" si="61"/>
        <v>37350</v>
      </c>
      <c r="AG204" s="97">
        <f t="shared" si="68"/>
        <v>13650</v>
      </c>
      <c r="AH204" s="97" t="str">
        <f t="shared" si="69"/>
        <v>profit</v>
      </c>
      <c r="AI204" s="100" t="b">
        <f t="shared" si="70"/>
        <v>1</v>
      </c>
    </row>
    <row r="205" spans="1:35" x14ac:dyDescent="0.3">
      <c r="A205" s="99">
        <v>45404</v>
      </c>
      <c r="B205" s="97" t="s">
        <v>231</v>
      </c>
      <c r="C205" s="19" t="s">
        <v>139</v>
      </c>
      <c r="D205" s="97" t="s">
        <v>154</v>
      </c>
      <c r="E205" s="97" t="s">
        <v>133</v>
      </c>
      <c r="F205" s="97" t="s">
        <v>123</v>
      </c>
      <c r="G205" s="97">
        <v>26</v>
      </c>
      <c r="H205" s="97">
        <v>942</v>
      </c>
      <c r="I205" s="97">
        <v>1143</v>
      </c>
      <c r="J205" s="97">
        <f t="shared" si="62"/>
        <v>24492</v>
      </c>
      <c r="K205" s="97">
        <f t="shared" si="63"/>
        <v>29718</v>
      </c>
      <c r="L205" s="97">
        <f t="shared" si="64"/>
        <v>5226</v>
      </c>
      <c r="M205" s="97" t="str">
        <f t="shared" si="65"/>
        <v>profit</v>
      </c>
      <c r="N205" s="100" t="b">
        <f t="shared" si="66"/>
        <v>1</v>
      </c>
      <c r="V205" s="99">
        <v>45622</v>
      </c>
      <c r="W205" s="97" t="s">
        <v>312</v>
      </c>
      <c r="X205" s="19" t="s">
        <v>139</v>
      </c>
      <c r="Y205" s="97" t="s">
        <v>154</v>
      </c>
      <c r="Z205" s="97" t="s">
        <v>145</v>
      </c>
      <c r="AA205" s="97" t="s">
        <v>112</v>
      </c>
      <c r="AB205" s="97">
        <v>30</v>
      </c>
      <c r="AC205" s="97">
        <v>651</v>
      </c>
      <c r="AD205" s="97">
        <v>1277</v>
      </c>
      <c r="AE205" s="97">
        <f t="shared" si="67"/>
        <v>19530</v>
      </c>
      <c r="AF205" s="97">
        <f t="shared" si="61"/>
        <v>38310</v>
      </c>
      <c r="AG205" s="97">
        <f t="shared" si="68"/>
        <v>18780</v>
      </c>
      <c r="AH205" s="97" t="str">
        <f t="shared" si="69"/>
        <v>profit</v>
      </c>
      <c r="AI205" s="100" t="b">
        <f t="shared" si="70"/>
        <v>0</v>
      </c>
    </row>
    <row r="206" spans="1:35" x14ac:dyDescent="0.3">
      <c r="A206" s="99">
        <v>45588</v>
      </c>
      <c r="B206" s="97" t="s">
        <v>232</v>
      </c>
      <c r="C206" s="19" t="s">
        <v>139</v>
      </c>
      <c r="D206" s="97" t="s">
        <v>140</v>
      </c>
      <c r="E206" s="97" t="s">
        <v>155</v>
      </c>
      <c r="F206" s="97" t="s">
        <v>112</v>
      </c>
      <c r="G206" s="97">
        <v>30</v>
      </c>
      <c r="H206" s="97">
        <v>869</v>
      </c>
      <c r="I206" s="97">
        <v>1033</v>
      </c>
      <c r="J206" s="97">
        <f t="shared" si="62"/>
        <v>26070</v>
      </c>
      <c r="K206" s="97">
        <f t="shared" si="63"/>
        <v>30990</v>
      </c>
      <c r="L206" s="97">
        <f t="shared" si="64"/>
        <v>4920</v>
      </c>
      <c r="M206" s="97" t="str">
        <f t="shared" si="65"/>
        <v>profit</v>
      </c>
      <c r="N206" s="100" t="b">
        <f t="shared" si="66"/>
        <v>1</v>
      </c>
      <c r="V206" s="99">
        <v>45441</v>
      </c>
      <c r="W206" s="97" t="s">
        <v>195</v>
      </c>
      <c r="X206" s="19" t="s">
        <v>127</v>
      </c>
      <c r="Y206" s="97" t="s">
        <v>186</v>
      </c>
      <c r="Z206" s="97" t="s">
        <v>146</v>
      </c>
      <c r="AA206" s="97" t="s">
        <v>123</v>
      </c>
      <c r="AB206" s="97">
        <v>67</v>
      </c>
      <c r="AC206" s="97">
        <v>796</v>
      </c>
      <c r="AD206" s="97">
        <v>1347</v>
      </c>
      <c r="AE206" s="97">
        <f t="shared" si="67"/>
        <v>53332</v>
      </c>
      <c r="AF206" s="97">
        <f t="shared" si="61"/>
        <v>90249</v>
      </c>
      <c r="AG206" s="97">
        <f t="shared" si="68"/>
        <v>36917</v>
      </c>
      <c r="AH206" s="97" t="str">
        <f t="shared" si="69"/>
        <v>profit</v>
      </c>
      <c r="AI206" s="100" t="b">
        <f t="shared" si="70"/>
        <v>1</v>
      </c>
    </row>
    <row r="207" spans="1:35" x14ac:dyDescent="0.3">
      <c r="A207" s="99">
        <v>45406</v>
      </c>
      <c r="B207" s="97" t="s">
        <v>233</v>
      </c>
      <c r="C207" s="19" t="s">
        <v>139</v>
      </c>
      <c r="D207" s="97" t="s">
        <v>154</v>
      </c>
      <c r="E207" s="97" t="s">
        <v>155</v>
      </c>
      <c r="F207" s="97" t="s">
        <v>123</v>
      </c>
      <c r="G207" s="97">
        <v>20</v>
      </c>
      <c r="H207" s="97">
        <v>606</v>
      </c>
      <c r="I207" s="97">
        <v>806</v>
      </c>
      <c r="J207" s="97">
        <f t="shared" si="62"/>
        <v>12120</v>
      </c>
      <c r="K207" s="97">
        <f t="shared" si="63"/>
        <v>16120</v>
      </c>
      <c r="L207" s="97">
        <f t="shared" si="64"/>
        <v>4000</v>
      </c>
      <c r="M207" s="97" t="str">
        <f t="shared" si="65"/>
        <v>profit</v>
      </c>
      <c r="N207" s="100" t="b">
        <f t="shared" si="66"/>
        <v>0</v>
      </c>
      <c r="V207" s="99">
        <v>45623</v>
      </c>
      <c r="W207" s="97" t="s">
        <v>313</v>
      </c>
      <c r="X207" s="19" t="s">
        <v>139</v>
      </c>
      <c r="Y207" s="97" t="s">
        <v>154</v>
      </c>
      <c r="Z207" s="97" t="s">
        <v>146</v>
      </c>
      <c r="AA207" s="97" t="s">
        <v>112</v>
      </c>
      <c r="AB207" s="97">
        <v>23</v>
      </c>
      <c r="AC207" s="97">
        <v>531</v>
      </c>
      <c r="AD207" s="97">
        <v>1072</v>
      </c>
      <c r="AE207" s="97">
        <f t="shared" si="67"/>
        <v>12213</v>
      </c>
      <c r="AF207" s="97">
        <f t="shared" si="61"/>
        <v>24656</v>
      </c>
      <c r="AG207" s="97">
        <f t="shared" si="68"/>
        <v>12443</v>
      </c>
      <c r="AH207" s="97" t="str">
        <f t="shared" si="69"/>
        <v>profit</v>
      </c>
      <c r="AI207" s="100" t="b">
        <f t="shared" si="70"/>
        <v>0</v>
      </c>
    </row>
    <row r="208" spans="1:35" x14ac:dyDescent="0.3">
      <c r="A208" s="99">
        <v>45590</v>
      </c>
      <c r="B208" s="97" t="s">
        <v>234</v>
      </c>
      <c r="C208" s="19" t="s">
        <v>139</v>
      </c>
      <c r="D208" s="97" t="s">
        <v>220</v>
      </c>
      <c r="E208" s="97" t="s">
        <v>133</v>
      </c>
      <c r="F208" s="97" t="s">
        <v>123</v>
      </c>
      <c r="G208" s="97">
        <v>20</v>
      </c>
      <c r="H208" s="97">
        <v>979</v>
      </c>
      <c r="I208" s="97">
        <v>1471</v>
      </c>
      <c r="J208" s="97">
        <f t="shared" si="62"/>
        <v>19580</v>
      </c>
      <c r="K208" s="97">
        <f t="shared" si="63"/>
        <v>29420</v>
      </c>
      <c r="L208" s="97">
        <f t="shared" si="64"/>
        <v>9840</v>
      </c>
      <c r="M208" s="97" t="str">
        <f t="shared" si="65"/>
        <v>profit</v>
      </c>
      <c r="N208" s="100" t="b">
        <f t="shared" si="66"/>
        <v>0</v>
      </c>
      <c r="V208" s="99">
        <v>45624</v>
      </c>
      <c r="W208" s="97" t="s">
        <v>314</v>
      </c>
      <c r="X208" s="19" t="s">
        <v>139</v>
      </c>
      <c r="Y208" s="97" t="s">
        <v>205</v>
      </c>
      <c r="Z208" s="97" t="s">
        <v>129</v>
      </c>
      <c r="AA208" s="97" t="s">
        <v>112</v>
      </c>
      <c r="AB208" s="97">
        <v>30</v>
      </c>
      <c r="AC208" s="97">
        <v>591</v>
      </c>
      <c r="AD208" s="97">
        <v>949</v>
      </c>
      <c r="AE208" s="97">
        <f t="shared" si="67"/>
        <v>17730</v>
      </c>
      <c r="AF208" s="97">
        <f t="shared" si="61"/>
        <v>28470</v>
      </c>
      <c r="AG208" s="97">
        <f t="shared" si="68"/>
        <v>10740</v>
      </c>
      <c r="AH208" s="97" t="str">
        <f t="shared" si="69"/>
        <v>profit</v>
      </c>
      <c r="AI208" s="100" t="b">
        <f t="shared" si="70"/>
        <v>0</v>
      </c>
    </row>
    <row r="209" spans="1:35" x14ac:dyDescent="0.3">
      <c r="A209" s="99">
        <v>45408</v>
      </c>
      <c r="B209" s="97" t="s">
        <v>235</v>
      </c>
      <c r="C209" s="19" t="s">
        <v>139</v>
      </c>
      <c r="D209" s="97" t="s">
        <v>154</v>
      </c>
      <c r="E209" s="97" t="s">
        <v>133</v>
      </c>
      <c r="F209" s="97" t="s">
        <v>112</v>
      </c>
      <c r="G209" s="97">
        <v>22</v>
      </c>
      <c r="H209" s="97">
        <v>822</v>
      </c>
      <c r="I209" s="97">
        <v>1153</v>
      </c>
      <c r="J209" s="97">
        <f t="shared" si="62"/>
        <v>18084</v>
      </c>
      <c r="K209" s="97">
        <f t="shared" si="63"/>
        <v>25366</v>
      </c>
      <c r="L209" s="97">
        <f t="shared" si="64"/>
        <v>7282</v>
      </c>
      <c r="M209" s="97" t="str">
        <f t="shared" si="65"/>
        <v>profit</v>
      </c>
      <c r="N209" s="100" t="b">
        <f t="shared" si="66"/>
        <v>0</v>
      </c>
      <c r="V209" s="99">
        <v>45625</v>
      </c>
      <c r="W209" s="97" t="s">
        <v>315</v>
      </c>
      <c r="X209" s="19" t="s">
        <v>139</v>
      </c>
      <c r="Y209" s="97" t="s">
        <v>205</v>
      </c>
      <c r="Z209" s="97" t="s">
        <v>133</v>
      </c>
      <c r="AA209" s="97" t="s">
        <v>112</v>
      </c>
      <c r="AB209" s="97">
        <v>29</v>
      </c>
      <c r="AC209" s="97">
        <v>621</v>
      </c>
      <c r="AD209" s="97">
        <v>1485</v>
      </c>
      <c r="AE209" s="97">
        <f t="shared" si="67"/>
        <v>18009</v>
      </c>
      <c r="AF209" s="97">
        <f t="shared" si="61"/>
        <v>43065</v>
      </c>
      <c r="AG209" s="97">
        <f t="shared" si="68"/>
        <v>25056</v>
      </c>
      <c r="AH209" s="97" t="str">
        <f t="shared" si="69"/>
        <v>profit</v>
      </c>
      <c r="AI209" s="100" t="b">
        <f t="shared" si="70"/>
        <v>0</v>
      </c>
    </row>
    <row r="210" spans="1:35" x14ac:dyDescent="0.3">
      <c r="A210" s="99">
        <v>45409</v>
      </c>
      <c r="B210" s="97" t="s">
        <v>236</v>
      </c>
      <c r="C210" s="19" t="s">
        <v>139</v>
      </c>
      <c r="D210" s="97" t="s">
        <v>154</v>
      </c>
      <c r="E210" s="97" t="s">
        <v>125</v>
      </c>
      <c r="F210" s="97" t="s">
        <v>112</v>
      </c>
      <c r="G210" s="97">
        <v>26</v>
      </c>
      <c r="H210" s="97">
        <v>505</v>
      </c>
      <c r="I210" s="97">
        <v>1337</v>
      </c>
      <c r="J210" s="97">
        <f t="shared" si="62"/>
        <v>13130</v>
      </c>
      <c r="K210" s="97">
        <f t="shared" si="63"/>
        <v>34762</v>
      </c>
      <c r="L210" s="97">
        <f t="shared" si="64"/>
        <v>21632</v>
      </c>
      <c r="M210" s="97" t="str">
        <f t="shared" si="65"/>
        <v>profit</v>
      </c>
      <c r="N210" s="100" t="b">
        <f t="shared" si="66"/>
        <v>0</v>
      </c>
      <c r="V210" s="99">
        <v>45627</v>
      </c>
      <c r="W210" s="97" t="s">
        <v>317</v>
      </c>
      <c r="X210" s="19" t="s">
        <v>139</v>
      </c>
      <c r="Y210" s="97" t="s">
        <v>205</v>
      </c>
      <c r="Z210" s="97" t="s">
        <v>155</v>
      </c>
      <c r="AA210" s="97" t="s">
        <v>112</v>
      </c>
      <c r="AB210" s="97">
        <v>30</v>
      </c>
      <c r="AC210" s="97">
        <v>857</v>
      </c>
      <c r="AD210" s="97">
        <v>1455</v>
      </c>
      <c r="AE210" s="97">
        <f t="shared" si="67"/>
        <v>25710</v>
      </c>
      <c r="AF210" s="97">
        <f t="shared" si="61"/>
        <v>43650</v>
      </c>
      <c r="AG210" s="97">
        <f t="shared" si="68"/>
        <v>17940</v>
      </c>
      <c r="AH210" s="97" t="str">
        <f t="shared" si="69"/>
        <v>profit</v>
      </c>
      <c r="AI210" s="100" t="b">
        <f t="shared" si="70"/>
        <v>1</v>
      </c>
    </row>
    <row r="211" spans="1:35" x14ac:dyDescent="0.3">
      <c r="A211" s="99">
        <v>45410</v>
      </c>
      <c r="B211" s="97" t="s">
        <v>237</v>
      </c>
      <c r="C211" s="19" t="s">
        <v>139</v>
      </c>
      <c r="D211" s="97" t="s">
        <v>154</v>
      </c>
      <c r="E211" s="97" t="s">
        <v>200</v>
      </c>
      <c r="F211" s="97" t="s">
        <v>112</v>
      </c>
      <c r="G211" s="97">
        <v>23</v>
      </c>
      <c r="H211" s="97">
        <v>649</v>
      </c>
      <c r="I211" s="97">
        <v>1210</v>
      </c>
      <c r="J211" s="97">
        <f t="shared" si="62"/>
        <v>14927</v>
      </c>
      <c r="K211" s="97">
        <f t="shared" si="63"/>
        <v>27830</v>
      </c>
      <c r="L211" s="97">
        <f t="shared" si="64"/>
        <v>12903</v>
      </c>
      <c r="M211" s="97" t="str">
        <f t="shared" si="65"/>
        <v>profit</v>
      </c>
      <c r="N211" s="100" t="b">
        <f t="shared" si="66"/>
        <v>0</v>
      </c>
      <c r="V211" s="99">
        <v>45628</v>
      </c>
      <c r="W211" s="97" t="s">
        <v>318</v>
      </c>
      <c r="X211" s="19" t="s">
        <v>139</v>
      </c>
      <c r="Y211" s="97" t="s">
        <v>205</v>
      </c>
      <c r="Z211" s="97" t="s">
        <v>155</v>
      </c>
      <c r="AA211" s="97" t="s">
        <v>112</v>
      </c>
      <c r="AB211" s="97">
        <v>20</v>
      </c>
      <c r="AC211" s="97">
        <v>897</v>
      </c>
      <c r="AD211" s="97">
        <v>1024</v>
      </c>
      <c r="AE211" s="97">
        <f t="shared" si="67"/>
        <v>17940</v>
      </c>
      <c r="AF211" s="97">
        <f t="shared" si="61"/>
        <v>20480</v>
      </c>
      <c r="AG211" s="97">
        <f t="shared" si="68"/>
        <v>2540</v>
      </c>
      <c r="AH211" s="97" t="str">
        <f t="shared" si="69"/>
        <v>profit</v>
      </c>
      <c r="AI211" s="100" t="b">
        <f t="shared" si="70"/>
        <v>0</v>
      </c>
    </row>
    <row r="212" spans="1:35" x14ac:dyDescent="0.3">
      <c r="A212" s="99">
        <v>45411</v>
      </c>
      <c r="B212" s="97" t="s">
        <v>238</v>
      </c>
      <c r="C212" s="19" t="s">
        <v>139</v>
      </c>
      <c r="D212" s="97" t="s">
        <v>154</v>
      </c>
      <c r="E212" s="97" t="s">
        <v>137</v>
      </c>
      <c r="F212" s="97" t="s">
        <v>112</v>
      </c>
      <c r="G212" s="97">
        <v>26</v>
      </c>
      <c r="H212" s="97">
        <v>647</v>
      </c>
      <c r="I212" s="97">
        <v>1025</v>
      </c>
      <c r="J212" s="97">
        <f t="shared" si="62"/>
        <v>16822</v>
      </c>
      <c r="K212" s="97">
        <f t="shared" si="63"/>
        <v>26650</v>
      </c>
      <c r="L212" s="97">
        <f t="shared" si="64"/>
        <v>9828</v>
      </c>
      <c r="M212" s="97" t="str">
        <f t="shared" si="65"/>
        <v>profit</v>
      </c>
      <c r="N212" s="100" t="b">
        <f t="shared" si="66"/>
        <v>0</v>
      </c>
      <c r="V212" s="99">
        <v>45630</v>
      </c>
      <c r="W212" s="97" t="s">
        <v>319</v>
      </c>
      <c r="X212" s="19" t="s">
        <v>139</v>
      </c>
      <c r="Y212" s="97" t="s">
        <v>205</v>
      </c>
      <c r="Z212" s="97" t="s">
        <v>133</v>
      </c>
      <c r="AA212" s="97" t="s">
        <v>123</v>
      </c>
      <c r="AB212" s="97">
        <v>22</v>
      </c>
      <c r="AC212" s="97">
        <v>781</v>
      </c>
      <c r="AD212" s="97">
        <v>1423</v>
      </c>
      <c r="AE212" s="97">
        <f t="shared" si="67"/>
        <v>17182</v>
      </c>
      <c r="AF212" s="97">
        <f t="shared" si="61"/>
        <v>31306</v>
      </c>
      <c r="AG212" s="97">
        <f t="shared" si="68"/>
        <v>14124</v>
      </c>
      <c r="AH212" s="97" t="str">
        <f t="shared" si="69"/>
        <v>profit</v>
      </c>
      <c r="AI212" s="100" t="b">
        <f t="shared" si="70"/>
        <v>0</v>
      </c>
    </row>
    <row r="213" spans="1:35" x14ac:dyDescent="0.3">
      <c r="A213" s="99">
        <v>45412</v>
      </c>
      <c r="B213" s="97" t="s">
        <v>239</v>
      </c>
      <c r="C213" s="19" t="s">
        <v>139</v>
      </c>
      <c r="D213" s="97" t="s">
        <v>154</v>
      </c>
      <c r="E213" s="97" t="s">
        <v>240</v>
      </c>
      <c r="F213" s="97" t="s">
        <v>112</v>
      </c>
      <c r="G213" s="97">
        <v>30</v>
      </c>
      <c r="H213" s="97">
        <v>843</v>
      </c>
      <c r="I213" s="97">
        <v>953</v>
      </c>
      <c r="J213" s="97">
        <f t="shared" si="62"/>
        <v>25290</v>
      </c>
      <c r="K213" s="97">
        <f t="shared" si="63"/>
        <v>28590</v>
      </c>
      <c r="L213" s="97">
        <f t="shared" si="64"/>
        <v>3300</v>
      </c>
      <c r="M213" s="97" t="str">
        <f t="shared" si="65"/>
        <v>profit</v>
      </c>
      <c r="N213" s="100" t="b">
        <f t="shared" si="66"/>
        <v>1</v>
      </c>
      <c r="V213" s="99">
        <v>45631</v>
      </c>
      <c r="W213" s="97" t="s">
        <v>320</v>
      </c>
      <c r="X213" s="19" t="s">
        <v>139</v>
      </c>
      <c r="Y213" s="97" t="s">
        <v>205</v>
      </c>
      <c r="Z213" s="97" t="s">
        <v>125</v>
      </c>
      <c r="AA213" s="97" t="s">
        <v>123</v>
      </c>
      <c r="AB213" s="97">
        <v>20</v>
      </c>
      <c r="AC213" s="97">
        <v>854</v>
      </c>
      <c r="AD213" s="97">
        <v>956</v>
      </c>
      <c r="AE213" s="97">
        <f t="shared" si="67"/>
        <v>17080</v>
      </c>
      <c r="AF213" s="97">
        <f t="shared" si="61"/>
        <v>19120</v>
      </c>
      <c r="AG213" s="97">
        <f t="shared" si="68"/>
        <v>2040</v>
      </c>
      <c r="AH213" s="97" t="str">
        <f t="shared" si="69"/>
        <v>profit</v>
      </c>
      <c r="AI213" s="100" t="b">
        <f t="shared" si="70"/>
        <v>0</v>
      </c>
    </row>
    <row r="214" spans="1:35" x14ac:dyDescent="0.3">
      <c r="A214" s="99">
        <v>45413</v>
      </c>
      <c r="B214" s="97" t="s">
        <v>241</v>
      </c>
      <c r="C214" s="19" t="s">
        <v>139</v>
      </c>
      <c r="D214" s="97" t="s">
        <v>154</v>
      </c>
      <c r="E214" s="97" t="s">
        <v>242</v>
      </c>
      <c r="F214" s="97" t="s">
        <v>112</v>
      </c>
      <c r="G214" s="97">
        <v>21</v>
      </c>
      <c r="H214" s="97">
        <v>571</v>
      </c>
      <c r="I214" s="97">
        <v>900</v>
      </c>
      <c r="J214" s="97">
        <f t="shared" si="62"/>
        <v>11991</v>
      </c>
      <c r="K214" s="97" t="s">
        <v>340</v>
      </c>
      <c r="L214" s="97" t="e">
        <f t="shared" si="64"/>
        <v>#VALUE!</v>
      </c>
      <c r="M214" s="97" t="e">
        <f t="shared" si="65"/>
        <v>#VALUE!</v>
      </c>
      <c r="N214" s="100" t="e">
        <f t="shared" si="66"/>
        <v>#VALUE!</v>
      </c>
      <c r="V214" s="99">
        <v>45632</v>
      </c>
      <c r="W214" s="97" t="s">
        <v>321</v>
      </c>
      <c r="X214" s="19" t="s">
        <v>139</v>
      </c>
      <c r="Y214" s="97" t="s">
        <v>205</v>
      </c>
      <c r="Z214" s="97" t="s">
        <v>200</v>
      </c>
      <c r="AA214" s="97" t="s">
        <v>123</v>
      </c>
      <c r="AB214" s="97">
        <v>26</v>
      </c>
      <c r="AC214" s="97">
        <v>909</v>
      </c>
      <c r="AD214" s="97">
        <v>1206</v>
      </c>
      <c r="AE214" s="97">
        <f t="shared" si="67"/>
        <v>23634</v>
      </c>
      <c r="AF214" s="97">
        <f t="shared" ref="AF214:AF277" si="71">AB214*AD214</f>
        <v>31356</v>
      </c>
      <c r="AG214" s="97">
        <f t="shared" si="68"/>
        <v>7722</v>
      </c>
      <c r="AH214" s="97" t="str">
        <f t="shared" si="69"/>
        <v>profit</v>
      </c>
      <c r="AI214" s="100" t="b">
        <f t="shared" si="70"/>
        <v>1</v>
      </c>
    </row>
    <row r="215" spans="1:35" x14ac:dyDescent="0.3">
      <c r="A215" s="99">
        <v>45414</v>
      </c>
      <c r="B215" s="97" t="s">
        <v>243</v>
      </c>
      <c r="C215" s="19" t="s">
        <v>139</v>
      </c>
      <c r="D215" s="97" t="s">
        <v>154</v>
      </c>
      <c r="E215" s="97" t="s">
        <v>111</v>
      </c>
      <c r="F215" s="97" t="s">
        <v>123</v>
      </c>
      <c r="G215" s="97">
        <v>25</v>
      </c>
      <c r="H215" s="97">
        <v>909</v>
      </c>
      <c r="I215" s="97">
        <v>970</v>
      </c>
      <c r="J215" s="97">
        <f t="shared" si="62"/>
        <v>22725</v>
      </c>
      <c r="K215" s="97">
        <f t="shared" si="63"/>
        <v>24250</v>
      </c>
      <c r="L215" s="97">
        <f t="shared" si="64"/>
        <v>1525</v>
      </c>
      <c r="M215" s="97" t="str">
        <f t="shared" si="65"/>
        <v>profit</v>
      </c>
      <c r="N215" s="100" t="b">
        <f t="shared" si="66"/>
        <v>1</v>
      </c>
      <c r="V215" s="99">
        <v>45633</v>
      </c>
      <c r="W215" s="97" t="s">
        <v>322</v>
      </c>
      <c r="X215" s="19" t="s">
        <v>139</v>
      </c>
      <c r="Y215" s="97" t="s">
        <v>205</v>
      </c>
      <c r="Z215" s="97" t="s">
        <v>137</v>
      </c>
      <c r="AA215" s="97" t="s">
        <v>112</v>
      </c>
      <c r="AB215" s="97">
        <v>20</v>
      </c>
      <c r="AC215" s="97">
        <v>976</v>
      </c>
      <c r="AD215" s="97">
        <v>905</v>
      </c>
      <c r="AE215" s="97">
        <f t="shared" si="67"/>
        <v>19520</v>
      </c>
      <c r="AF215" s="97">
        <f t="shared" si="71"/>
        <v>18100</v>
      </c>
      <c r="AG215" s="97">
        <f t="shared" si="68"/>
        <v>-1420</v>
      </c>
      <c r="AH215" s="97" t="str">
        <f t="shared" si="69"/>
        <v>loss</v>
      </c>
      <c r="AI215" s="100" t="b">
        <f t="shared" si="70"/>
        <v>0</v>
      </c>
    </row>
    <row r="216" spans="1:35" x14ac:dyDescent="0.3">
      <c r="A216" s="99">
        <v>45415</v>
      </c>
      <c r="B216" s="97" t="s">
        <v>244</v>
      </c>
      <c r="C216" s="19" t="s">
        <v>139</v>
      </c>
      <c r="D216" s="97" t="s">
        <v>154</v>
      </c>
      <c r="E216" s="97" t="s">
        <v>115</v>
      </c>
      <c r="F216" s="97" t="s">
        <v>123</v>
      </c>
      <c r="G216" s="97">
        <v>24</v>
      </c>
      <c r="H216" s="97">
        <v>584</v>
      </c>
      <c r="I216" s="97">
        <v>1158</v>
      </c>
      <c r="J216" s="97">
        <f t="shared" si="62"/>
        <v>14016</v>
      </c>
      <c r="K216" s="97">
        <f t="shared" si="63"/>
        <v>27792</v>
      </c>
      <c r="L216" s="97">
        <f t="shared" si="64"/>
        <v>13776</v>
      </c>
      <c r="M216" s="97" t="str">
        <f t="shared" si="65"/>
        <v>profit</v>
      </c>
      <c r="N216" s="100" t="b">
        <f t="shared" si="66"/>
        <v>0</v>
      </c>
      <c r="V216" s="99">
        <v>45635</v>
      </c>
      <c r="W216" s="97" t="s">
        <v>323</v>
      </c>
      <c r="X216" s="19" t="s">
        <v>139</v>
      </c>
      <c r="Y216" s="97" t="s">
        <v>205</v>
      </c>
      <c r="Z216" s="97" t="s">
        <v>242</v>
      </c>
      <c r="AA216" s="97" t="s">
        <v>123</v>
      </c>
      <c r="AB216" s="97">
        <v>24</v>
      </c>
      <c r="AC216" s="97">
        <v>787</v>
      </c>
      <c r="AD216" s="97">
        <v>1122</v>
      </c>
      <c r="AE216" s="97">
        <f t="shared" si="67"/>
        <v>18888</v>
      </c>
      <c r="AF216" s="97">
        <f t="shared" si="71"/>
        <v>26928</v>
      </c>
      <c r="AG216" s="97">
        <f t="shared" si="68"/>
        <v>8040</v>
      </c>
      <c r="AH216" s="97" t="str">
        <f t="shared" si="69"/>
        <v>profit</v>
      </c>
      <c r="AI216" s="100" t="b">
        <f t="shared" si="70"/>
        <v>0</v>
      </c>
    </row>
    <row r="217" spans="1:35" x14ac:dyDescent="0.3">
      <c r="A217" s="99">
        <v>45416</v>
      </c>
      <c r="B217" s="97" t="s">
        <v>245</v>
      </c>
      <c r="C217" s="19" t="s">
        <v>139</v>
      </c>
      <c r="D217" s="97" t="s">
        <v>154</v>
      </c>
      <c r="E217" s="97" t="s">
        <v>118</v>
      </c>
      <c r="F217" s="97" t="s">
        <v>123</v>
      </c>
      <c r="G217" s="97">
        <v>28</v>
      </c>
      <c r="H217" s="97">
        <v>787</v>
      </c>
      <c r="I217" s="97">
        <v>1452</v>
      </c>
      <c r="J217" s="97">
        <f t="shared" si="62"/>
        <v>22036</v>
      </c>
      <c r="K217" s="97">
        <f t="shared" si="63"/>
        <v>40656</v>
      </c>
      <c r="L217" s="97">
        <f t="shared" si="64"/>
        <v>18620</v>
      </c>
      <c r="M217" s="97" t="str">
        <f t="shared" si="65"/>
        <v>profit</v>
      </c>
      <c r="N217" s="100" t="b">
        <f t="shared" si="66"/>
        <v>1</v>
      </c>
      <c r="V217" s="99">
        <v>45689</v>
      </c>
      <c r="W217" s="97" t="s">
        <v>324</v>
      </c>
      <c r="X217" s="19" t="s">
        <v>139</v>
      </c>
      <c r="Y217" s="97" t="s">
        <v>205</v>
      </c>
      <c r="Z217" s="97" t="s">
        <v>137</v>
      </c>
      <c r="AA217" s="97" t="s">
        <v>112</v>
      </c>
      <c r="AB217" s="97">
        <v>23</v>
      </c>
      <c r="AC217" s="97">
        <v>755</v>
      </c>
      <c r="AD217" s="97">
        <v>806</v>
      </c>
      <c r="AE217" s="97">
        <f t="shared" si="67"/>
        <v>17365</v>
      </c>
      <c r="AF217" s="97">
        <f t="shared" si="71"/>
        <v>18538</v>
      </c>
      <c r="AG217" s="97">
        <f t="shared" si="68"/>
        <v>1173</v>
      </c>
      <c r="AH217" s="97" t="str">
        <f t="shared" si="69"/>
        <v>profit</v>
      </c>
      <c r="AI217" s="100" t="b">
        <f t="shared" si="70"/>
        <v>0</v>
      </c>
    </row>
    <row r="218" spans="1:35" x14ac:dyDescent="0.3">
      <c r="A218" s="99">
        <v>45417</v>
      </c>
      <c r="B218" s="97" t="s">
        <v>246</v>
      </c>
      <c r="C218" s="19" t="s">
        <v>139</v>
      </c>
      <c r="D218" s="97" t="s">
        <v>154</v>
      </c>
      <c r="E218" s="97" t="s">
        <v>120</v>
      </c>
      <c r="F218" s="97" t="s">
        <v>123</v>
      </c>
      <c r="G218" s="97">
        <v>23</v>
      </c>
      <c r="H218" s="97">
        <v>768</v>
      </c>
      <c r="I218" s="97">
        <v>1102</v>
      </c>
      <c r="J218" s="97">
        <f t="shared" si="62"/>
        <v>17664</v>
      </c>
      <c r="K218" s="97">
        <f t="shared" si="63"/>
        <v>25346</v>
      </c>
      <c r="L218" s="97">
        <f t="shared" si="64"/>
        <v>7682</v>
      </c>
      <c r="M218" s="97" t="str">
        <f t="shared" si="65"/>
        <v>profit</v>
      </c>
      <c r="N218" s="100" t="b">
        <f t="shared" si="66"/>
        <v>0</v>
      </c>
      <c r="V218" s="99">
        <v>45690</v>
      </c>
      <c r="W218" s="97" t="s">
        <v>325</v>
      </c>
      <c r="X218" s="19" t="s">
        <v>139</v>
      </c>
      <c r="Y218" s="97" t="s">
        <v>205</v>
      </c>
      <c r="Z218" s="97" t="s">
        <v>240</v>
      </c>
      <c r="AA218" s="97" t="s">
        <v>112</v>
      </c>
      <c r="AB218" s="97">
        <v>26</v>
      </c>
      <c r="AC218" s="97">
        <v>573</v>
      </c>
      <c r="AD218" s="97">
        <v>1309</v>
      </c>
      <c r="AE218" s="97">
        <f t="shared" si="67"/>
        <v>14898</v>
      </c>
      <c r="AF218" s="97">
        <f t="shared" si="71"/>
        <v>34034</v>
      </c>
      <c r="AG218" s="97">
        <f t="shared" si="68"/>
        <v>19136</v>
      </c>
      <c r="AH218" s="97" t="str">
        <f t="shared" si="69"/>
        <v>profit</v>
      </c>
      <c r="AI218" s="100" t="b">
        <f t="shared" si="70"/>
        <v>0</v>
      </c>
    </row>
    <row r="219" spans="1:35" x14ac:dyDescent="0.3">
      <c r="A219" s="99">
        <v>45418</v>
      </c>
      <c r="B219" s="97" t="s">
        <v>247</v>
      </c>
      <c r="C219" s="19" t="s">
        <v>139</v>
      </c>
      <c r="D219" s="97" t="s">
        <v>154</v>
      </c>
      <c r="E219" s="97" t="s">
        <v>120</v>
      </c>
      <c r="F219" s="97" t="s">
        <v>112</v>
      </c>
      <c r="G219" s="97">
        <v>23</v>
      </c>
      <c r="H219" s="97">
        <v>584</v>
      </c>
      <c r="I219" s="97">
        <v>1168</v>
      </c>
      <c r="J219" s="97">
        <f t="shared" si="62"/>
        <v>13432</v>
      </c>
      <c r="K219" s="97">
        <f t="shared" si="63"/>
        <v>26864</v>
      </c>
      <c r="L219" s="97">
        <f t="shared" si="64"/>
        <v>13432</v>
      </c>
      <c r="M219" s="97" t="str">
        <f t="shared" si="65"/>
        <v>profit</v>
      </c>
      <c r="N219" s="100" t="b">
        <f t="shared" si="66"/>
        <v>0</v>
      </c>
      <c r="V219" s="99">
        <v>45691</v>
      </c>
      <c r="W219" s="97" t="s">
        <v>326</v>
      </c>
      <c r="X219" s="19" t="s">
        <v>139</v>
      </c>
      <c r="Y219" s="97" t="s">
        <v>205</v>
      </c>
      <c r="Z219" s="97" t="s">
        <v>242</v>
      </c>
      <c r="AA219" s="97" t="s">
        <v>112</v>
      </c>
      <c r="AB219" s="97">
        <v>30</v>
      </c>
      <c r="AC219" s="97">
        <v>946</v>
      </c>
      <c r="AD219" s="97">
        <v>1089</v>
      </c>
      <c r="AE219" s="97">
        <f t="shared" si="67"/>
        <v>28380</v>
      </c>
      <c r="AF219" s="97">
        <f t="shared" si="71"/>
        <v>32670</v>
      </c>
      <c r="AG219" s="97">
        <f t="shared" si="68"/>
        <v>4290</v>
      </c>
      <c r="AH219" s="97" t="str">
        <f t="shared" si="69"/>
        <v>profit</v>
      </c>
      <c r="AI219" s="100" t="b">
        <f t="shared" si="70"/>
        <v>1</v>
      </c>
    </row>
    <row r="220" spans="1:35" x14ac:dyDescent="0.3">
      <c r="A220" s="99">
        <v>45602</v>
      </c>
      <c r="B220" s="97" t="s">
        <v>248</v>
      </c>
      <c r="C220" s="19" t="s">
        <v>127</v>
      </c>
      <c r="D220" s="97" t="s">
        <v>249</v>
      </c>
      <c r="E220" s="97" t="s">
        <v>125</v>
      </c>
      <c r="F220" s="97" t="s">
        <v>112</v>
      </c>
      <c r="G220" s="97">
        <v>57</v>
      </c>
      <c r="H220" s="97">
        <v>541</v>
      </c>
      <c r="I220" s="97">
        <v>819</v>
      </c>
      <c r="J220" s="97">
        <f t="shared" si="62"/>
        <v>30837</v>
      </c>
      <c r="K220" s="97">
        <f t="shared" si="63"/>
        <v>46683</v>
      </c>
      <c r="L220" s="97">
        <f t="shared" si="64"/>
        <v>15846</v>
      </c>
      <c r="M220" s="97" t="str">
        <f t="shared" si="65"/>
        <v>profit</v>
      </c>
      <c r="N220" s="100" t="b">
        <f t="shared" si="66"/>
        <v>1</v>
      </c>
      <c r="V220" s="99">
        <v>45692</v>
      </c>
      <c r="W220" s="97" t="s">
        <v>328</v>
      </c>
      <c r="X220" s="19" t="s">
        <v>139</v>
      </c>
      <c r="Y220" s="97" t="s">
        <v>205</v>
      </c>
      <c r="Z220" s="97" t="s">
        <v>111</v>
      </c>
      <c r="AA220" s="97" t="s">
        <v>123</v>
      </c>
      <c r="AB220" s="97">
        <v>22</v>
      </c>
      <c r="AC220" s="97">
        <v>679</v>
      </c>
      <c r="AD220" s="97">
        <v>1463</v>
      </c>
      <c r="AE220" s="97">
        <f t="shared" si="67"/>
        <v>14938</v>
      </c>
      <c r="AF220" s="97">
        <f t="shared" si="71"/>
        <v>32186</v>
      </c>
      <c r="AG220" s="97">
        <f t="shared" si="68"/>
        <v>17248</v>
      </c>
      <c r="AH220" s="97" t="str">
        <f t="shared" si="69"/>
        <v>profit</v>
      </c>
      <c r="AI220" s="100" t="b">
        <f t="shared" si="70"/>
        <v>0</v>
      </c>
    </row>
    <row r="221" spans="1:35" x14ac:dyDescent="0.3">
      <c r="A221" s="99">
        <v>45419</v>
      </c>
      <c r="B221" s="97" t="s">
        <v>250</v>
      </c>
      <c r="C221" s="19" t="s">
        <v>139</v>
      </c>
      <c r="D221" s="97" t="s">
        <v>205</v>
      </c>
      <c r="E221" s="97" t="s">
        <v>122</v>
      </c>
      <c r="F221" s="97" t="s">
        <v>112</v>
      </c>
      <c r="G221" s="97">
        <v>20</v>
      </c>
      <c r="H221" s="97">
        <v>778</v>
      </c>
      <c r="I221" s="97">
        <v>1096</v>
      </c>
      <c r="J221" s="97">
        <f t="shared" si="62"/>
        <v>15560</v>
      </c>
      <c r="K221" s="97">
        <f t="shared" si="63"/>
        <v>21920</v>
      </c>
      <c r="L221" s="97">
        <f t="shared" si="64"/>
        <v>6360</v>
      </c>
      <c r="M221" s="97" t="str">
        <f t="shared" si="65"/>
        <v>profit</v>
      </c>
      <c r="N221" s="100" t="b">
        <f t="shared" si="66"/>
        <v>0</v>
      </c>
      <c r="V221" s="99">
        <v>45693</v>
      </c>
      <c r="W221" s="97" t="s">
        <v>329</v>
      </c>
      <c r="X221" s="19" t="s">
        <v>139</v>
      </c>
      <c r="Y221" s="97" t="s">
        <v>205</v>
      </c>
      <c r="Z221" s="97" t="s">
        <v>115</v>
      </c>
      <c r="AA221" s="97" t="s">
        <v>123</v>
      </c>
      <c r="AB221" s="97">
        <v>25</v>
      </c>
      <c r="AC221" s="97">
        <v>975</v>
      </c>
      <c r="AD221" s="97">
        <v>935</v>
      </c>
      <c r="AE221" s="97">
        <f t="shared" si="67"/>
        <v>24375</v>
      </c>
      <c r="AF221" s="97">
        <f t="shared" si="71"/>
        <v>23375</v>
      </c>
      <c r="AG221" s="97">
        <f t="shared" si="68"/>
        <v>-1000</v>
      </c>
      <c r="AH221" s="97" t="str">
        <f t="shared" si="69"/>
        <v>loss</v>
      </c>
      <c r="AI221" s="100" t="b">
        <f t="shared" si="70"/>
        <v>0</v>
      </c>
    </row>
    <row r="222" spans="1:35" x14ac:dyDescent="0.3">
      <c r="A222" s="99">
        <v>45420</v>
      </c>
      <c r="B222" s="97" t="s">
        <v>251</v>
      </c>
      <c r="C222" s="19" t="s">
        <v>139</v>
      </c>
      <c r="D222" s="97" t="s">
        <v>205</v>
      </c>
      <c r="E222" s="97" t="s">
        <v>125</v>
      </c>
      <c r="F222" s="97" t="s">
        <v>112</v>
      </c>
      <c r="G222" s="97">
        <v>26</v>
      </c>
      <c r="H222" s="97">
        <v>595</v>
      </c>
      <c r="I222" s="97">
        <v>914</v>
      </c>
      <c r="J222" s="97">
        <f t="shared" si="62"/>
        <v>15470</v>
      </c>
      <c r="K222" s="97">
        <f t="shared" si="63"/>
        <v>23764</v>
      </c>
      <c r="L222" s="97">
        <f t="shared" si="64"/>
        <v>8294</v>
      </c>
      <c r="M222" s="97" t="str">
        <f t="shared" si="65"/>
        <v>profit</v>
      </c>
      <c r="N222" s="100" t="b">
        <f t="shared" si="66"/>
        <v>0</v>
      </c>
      <c r="V222" s="99">
        <v>45694</v>
      </c>
      <c r="W222" s="97" t="s">
        <v>330</v>
      </c>
      <c r="X222" s="19" t="s">
        <v>139</v>
      </c>
      <c r="Y222" s="97" t="s">
        <v>205</v>
      </c>
      <c r="Z222" s="97" t="s">
        <v>118</v>
      </c>
      <c r="AA222" s="97" t="s">
        <v>123</v>
      </c>
      <c r="AB222" s="97">
        <v>24</v>
      </c>
      <c r="AC222" s="97">
        <v>642</v>
      </c>
      <c r="AD222" s="97">
        <v>996</v>
      </c>
      <c r="AE222" s="97">
        <f t="shared" si="67"/>
        <v>15408</v>
      </c>
      <c r="AF222" s="97">
        <f t="shared" si="71"/>
        <v>23904</v>
      </c>
      <c r="AG222" s="97">
        <f t="shared" si="68"/>
        <v>8496</v>
      </c>
      <c r="AH222" s="97" t="str">
        <f t="shared" si="69"/>
        <v>profit</v>
      </c>
      <c r="AI222" s="100" t="b">
        <f t="shared" si="70"/>
        <v>0</v>
      </c>
    </row>
    <row r="223" spans="1:35" x14ac:dyDescent="0.3">
      <c r="A223" s="99">
        <v>45605</v>
      </c>
      <c r="B223" s="97" t="s">
        <v>252</v>
      </c>
      <c r="C223" s="19" t="s">
        <v>127</v>
      </c>
      <c r="D223" s="97" t="s">
        <v>249</v>
      </c>
      <c r="E223" s="97" t="s">
        <v>161</v>
      </c>
      <c r="F223" s="97" t="s">
        <v>112</v>
      </c>
      <c r="G223" s="97">
        <v>70</v>
      </c>
      <c r="H223" s="97">
        <v>871</v>
      </c>
      <c r="I223" s="97">
        <v>862</v>
      </c>
      <c r="J223" s="97">
        <f t="shared" si="62"/>
        <v>60970</v>
      </c>
      <c r="K223" s="97">
        <f t="shared" si="63"/>
        <v>60340</v>
      </c>
      <c r="L223" s="97">
        <f t="shared" si="64"/>
        <v>-630</v>
      </c>
      <c r="M223" s="97" t="str">
        <f t="shared" si="65"/>
        <v>loss</v>
      </c>
      <c r="N223" s="100" t="b">
        <f t="shared" si="66"/>
        <v>0</v>
      </c>
      <c r="V223" s="99">
        <v>45458</v>
      </c>
      <c r="W223" s="97" t="s">
        <v>201</v>
      </c>
      <c r="X223" s="19" t="s">
        <v>109</v>
      </c>
      <c r="Y223" s="97" t="s">
        <v>110</v>
      </c>
      <c r="Z223" s="97" t="s">
        <v>120</v>
      </c>
      <c r="AA223" s="97" t="s">
        <v>112</v>
      </c>
      <c r="AB223" s="97">
        <v>14</v>
      </c>
      <c r="AC223" s="97">
        <v>603</v>
      </c>
      <c r="AD223" s="97">
        <v>1104</v>
      </c>
      <c r="AE223" s="97">
        <f t="shared" si="67"/>
        <v>8442</v>
      </c>
      <c r="AF223" s="97">
        <f t="shared" si="71"/>
        <v>15456</v>
      </c>
      <c r="AG223" s="97">
        <f t="shared" si="68"/>
        <v>7014</v>
      </c>
      <c r="AH223" s="97" t="str">
        <f t="shared" si="69"/>
        <v>profit</v>
      </c>
      <c r="AI223" s="100" t="b">
        <f t="shared" si="70"/>
        <v>0</v>
      </c>
    </row>
    <row r="224" spans="1:35" x14ac:dyDescent="0.3">
      <c r="A224" s="99">
        <v>45421</v>
      </c>
      <c r="B224" s="97" t="s">
        <v>253</v>
      </c>
      <c r="C224" s="19" t="s">
        <v>139</v>
      </c>
      <c r="D224" s="97" t="s">
        <v>205</v>
      </c>
      <c r="E224" s="97" t="s">
        <v>120</v>
      </c>
      <c r="F224" s="97" t="s">
        <v>112</v>
      </c>
      <c r="G224" s="97">
        <v>27</v>
      </c>
      <c r="H224" s="97">
        <v>722</v>
      </c>
      <c r="I224" s="97">
        <v>1497</v>
      </c>
      <c r="J224" s="97">
        <f t="shared" si="62"/>
        <v>19494</v>
      </c>
      <c r="K224" s="97">
        <f t="shared" si="63"/>
        <v>40419</v>
      </c>
      <c r="L224" s="97">
        <f t="shared" si="64"/>
        <v>20925</v>
      </c>
      <c r="M224" s="97" t="str">
        <f t="shared" si="65"/>
        <v>profit</v>
      </c>
      <c r="N224" s="100" t="b">
        <f t="shared" si="66"/>
        <v>0</v>
      </c>
      <c r="V224" s="99">
        <v>45695</v>
      </c>
      <c r="W224" s="97" t="s">
        <v>332</v>
      </c>
      <c r="X224" s="19" t="s">
        <v>139</v>
      </c>
      <c r="Y224" s="97" t="s">
        <v>205</v>
      </c>
      <c r="Z224" s="97" t="s">
        <v>120</v>
      </c>
      <c r="AA224" s="97" t="s">
        <v>123</v>
      </c>
      <c r="AB224" s="97">
        <v>29</v>
      </c>
      <c r="AC224" s="97">
        <v>598</v>
      </c>
      <c r="AD224" s="97">
        <v>923</v>
      </c>
      <c r="AE224" s="97">
        <f t="shared" si="67"/>
        <v>17342</v>
      </c>
      <c r="AF224" s="97">
        <f t="shared" si="71"/>
        <v>26767</v>
      </c>
      <c r="AG224" s="97">
        <f t="shared" si="68"/>
        <v>9425</v>
      </c>
      <c r="AH224" s="97" t="str">
        <f t="shared" si="69"/>
        <v>profit</v>
      </c>
      <c r="AI224" s="100" t="b">
        <f t="shared" si="70"/>
        <v>0</v>
      </c>
    </row>
    <row r="225" spans="1:35" x14ac:dyDescent="0.3">
      <c r="A225" s="99">
        <v>45422</v>
      </c>
      <c r="B225" s="97" t="s">
        <v>254</v>
      </c>
      <c r="C225" s="19" t="s">
        <v>139</v>
      </c>
      <c r="D225" s="97" t="s">
        <v>205</v>
      </c>
      <c r="E225" s="97" t="s">
        <v>166</v>
      </c>
      <c r="F225" s="97" t="s">
        <v>112</v>
      </c>
      <c r="G225" s="97">
        <v>25</v>
      </c>
      <c r="H225" s="97">
        <v>982</v>
      </c>
      <c r="I225" s="97">
        <v>1395</v>
      </c>
      <c r="J225" s="97">
        <f t="shared" si="62"/>
        <v>24550</v>
      </c>
      <c r="K225" s="97">
        <f t="shared" si="63"/>
        <v>34875</v>
      </c>
      <c r="L225" s="97">
        <f t="shared" si="64"/>
        <v>10325</v>
      </c>
      <c r="M225" s="97" t="str">
        <f t="shared" si="65"/>
        <v>profit</v>
      </c>
      <c r="N225" s="100" t="b">
        <f t="shared" si="66"/>
        <v>1</v>
      </c>
      <c r="V225" s="99">
        <v>45696</v>
      </c>
      <c r="W225" s="97" t="s">
        <v>333</v>
      </c>
      <c r="X225" s="19" t="s">
        <v>139</v>
      </c>
      <c r="Y225" s="97" t="s">
        <v>205</v>
      </c>
      <c r="Z225" s="97" t="s">
        <v>120</v>
      </c>
      <c r="AA225" s="97" t="s">
        <v>123</v>
      </c>
      <c r="AB225" s="97">
        <v>22</v>
      </c>
      <c r="AC225" s="97">
        <v>719</v>
      </c>
      <c r="AD225" s="97">
        <v>1079</v>
      </c>
      <c r="AE225" s="97">
        <f t="shared" si="67"/>
        <v>15818</v>
      </c>
      <c r="AF225" s="97">
        <f t="shared" si="71"/>
        <v>23738</v>
      </c>
      <c r="AG225" s="97">
        <f t="shared" si="68"/>
        <v>7920</v>
      </c>
      <c r="AH225" s="97" t="str">
        <f t="shared" si="69"/>
        <v>profit</v>
      </c>
      <c r="AI225" s="100" t="b">
        <f t="shared" si="70"/>
        <v>0</v>
      </c>
    </row>
    <row r="226" spans="1:35" x14ac:dyDescent="0.3">
      <c r="A226" s="99">
        <v>45423</v>
      </c>
      <c r="B226" s="97" t="s">
        <v>255</v>
      </c>
      <c r="C226" s="19" t="s">
        <v>139</v>
      </c>
      <c r="D226" s="97" t="s">
        <v>205</v>
      </c>
      <c r="E226" s="97" t="s">
        <v>161</v>
      </c>
      <c r="F226" s="97" t="s">
        <v>112</v>
      </c>
      <c r="G226" s="97">
        <v>25</v>
      </c>
      <c r="H226" s="97">
        <v>982</v>
      </c>
      <c r="I226" s="97">
        <v>1389</v>
      </c>
      <c r="J226" s="97">
        <f t="shared" si="62"/>
        <v>24550</v>
      </c>
      <c r="K226" s="97">
        <f t="shared" si="63"/>
        <v>34725</v>
      </c>
      <c r="L226" s="97">
        <f t="shared" si="64"/>
        <v>10175</v>
      </c>
      <c r="M226" s="97" t="str">
        <f t="shared" si="65"/>
        <v>profit</v>
      </c>
      <c r="N226" s="100" t="b">
        <f t="shared" si="66"/>
        <v>1</v>
      </c>
      <c r="V226" s="99">
        <v>45697</v>
      </c>
      <c r="W226" s="97" t="s">
        <v>334</v>
      </c>
      <c r="X226" s="19" t="s">
        <v>139</v>
      </c>
      <c r="Y226" s="97" t="s">
        <v>205</v>
      </c>
      <c r="Z226" s="97" t="s">
        <v>122</v>
      </c>
      <c r="AA226" s="97" t="s">
        <v>112</v>
      </c>
      <c r="AB226" s="97">
        <v>30</v>
      </c>
      <c r="AC226" s="97">
        <v>716</v>
      </c>
      <c r="AD226" s="97">
        <v>956</v>
      </c>
      <c r="AE226" s="97">
        <f t="shared" si="67"/>
        <v>21480</v>
      </c>
      <c r="AF226" s="97">
        <f t="shared" si="71"/>
        <v>28680</v>
      </c>
      <c r="AG226" s="97">
        <f t="shared" si="68"/>
        <v>7200</v>
      </c>
      <c r="AH226" s="97" t="str">
        <f t="shared" si="69"/>
        <v>profit</v>
      </c>
      <c r="AI226" s="100" t="b">
        <f t="shared" si="70"/>
        <v>1</v>
      </c>
    </row>
    <row r="227" spans="1:35" x14ac:dyDescent="0.3">
      <c r="A227" s="99">
        <v>45424</v>
      </c>
      <c r="B227" s="97" t="s">
        <v>256</v>
      </c>
      <c r="C227" s="19" t="s">
        <v>139</v>
      </c>
      <c r="D227" s="97" t="s">
        <v>205</v>
      </c>
      <c r="E227" s="97" t="s">
        <v>137</v>
      </c>
      <c r="F227" s="97" t="s">
        <v>112</v>
      </c>
      <c r="G227" s="97">
        <v>25</v>
      </c>
      <c r="H227" s="97">
        <v>810</v>
      </c>
      <c r="I227" s="97">
        <v>1086</v>
      </c>
      <c r="J227" s="97">
        <f t="shared" si="62"/>
        <v>20250</v>
      </c>
      <c r="K227" s="97" t="s">
        <v>340</v>
      </c>
      <c r="L227" s="97" t="e">
        <f t="shared" si="64"/>
        <v>#VALUE!</v>
      </c>
      <c r="M227" s="97" t="e">
        <f t="shared" si="65"/>
        <v>#VALUE!</v>
      </c>
      <c r="N227" s="100" t="e">
        <f t="shared" si="66"/>
        <v>#VALUE!</v>
      </c>
      <c r="V227" s="99">
        <v>45699</v>
      </c>
      <c r="W227" s="97" t="s">
        <v>335</v>
      </c>
      <c r="X227" s="19" t="s">
        <v>139</v>
      </c>
      <c r="Y227" s="97" t="s">
        <v>205</v>
      </c>
      <c r="Z227" s="97" t="s">
        <v>129</v>
      </c>
      <c r="AA227" s="97" t="s">
        <v>112</v>
      </c>
      <c r="AB227" s="97">
        <v>29</v>
      </c>
      <c r="AC227" s="97">
        <v>623</v>
      </c>
      <c r="AD227" s="97">
        <v>919</v>
      </c>
      <c r="AE227" s="97">
        <f t="shared" si="67"/>
        <v>18067</v>
      </c>
      <c r="AF227" s="97">
        <f t="shared" si="71"/>
        <v>26651</v>
      </c>
      <c r="AG227" s="97">
        <f t="shared" si="68"/>
        <v>8584</v>
      </c>
      <c r="AH227" s="97" t="str">
        <f t="shared" si="69"/>
        <v>profit</v>
      </c>
      <c r="AI227" s="100" t="b">
        <f t="shared" si="70"/>
        <v>0</v>
      </c>
    </row>
    <row r="228" spans="1:35" x14ac:dyDescent="0.3">
      <c r="A228" s="99">
        <v>45610</v>
      </c>
      <c r="B228" s="97" t="s">
        <v>257</v>
      </c>
      <c r="C228" s="19" t="s">
        <v>139</v>
      </c>
      <c r="D228" s="97" t="s">
        <v>154</v>
      </c>
      <c r="E228" s="97" t="s">
        <v>168</v>
      </c>
      <c r="F228" s="97" t="s">
        <v>123</v>
      </c>
      <c r="G228" s="97">
        <v>20</v>
      </c>
      <c r="H228" s="97">
        <v>773</v>
      </c>
      <c r="I228" s="97">
        <v>823</v>
      </c>
      <c r="J228" s="97">
        <f t="shared" si="62"/>
        <v>15460</v>
      </c>
      <c r="K228" s="97">
        <f t="shared" si="63"/>
        <v>16460</v>
      </c>
      <c r="L228" s="97">
        <f t="shared" si="64"/>
        <v>1000</v>
      </c>
      <c r="M228" s="97" t="str">
        <f t="shared" si="65"/>
        <v>profit</v>
      </c>
      <c r="N228" s="100" t="b">
        <f t="shared" si="66"/>
        <v>0</v>
      </c>
      <c r="V228" s="99">
        <v>45383</v>
      </c>
      <c r="W228" s="97" t="s">
        <v>218</v>
      </c>
      <c r="X228" s="19" t="s">
        <v>139</v>
      </c>
      <c r="Y228" s="97" t="s">
        <v>140</v>
      </c>
      <c r="Z228" s="97" t="s">
        <v>161</v>
      </c>
      <c r="AA228" s="97" t="s">
        <v>123</v>
      </c>
      <c r="AB228" s="97">
        <v>21</v>
      </c>
      <c r="AC228" s="97">
        <v>553</v>
      </c>
      <c r="AD228" s="97">
        <v>1459</v>
      </c>
      <c r="AE228" s="97">
        <f t="shared" si="67"/>
        <v>11613</v>
      </c>
      <c r="AF228" s="97">
        <f t="shared" si="71"/>
        <v>30639</v>
      </c>
      <c r="AG228" s="97">
        <f t="shared" si="68"/>
        <v>19026</v>
      </c>
      <c r="AH228" s="97" t="str">
        <f t="shared" si="69"/>
        <v>profit</v>
      </c>
      <c r="AI228" s="100" t="b">
        <f t="shared" si="70"/>
        <v>0</v>
      </c>
    </row>
    <row r="229" spans="1:35" x14ac:dyDescent="0.3">
      <c r="A229" s="99">
        <v>45425</v>
      </c>
      <c r="B229" s="97" t="s">
        <v>258</v>
      </c>
      <c r="C229" s="19" t="s">
        <v>139</v>
      </c>
      <c r="D229" s="97" t="s">
        <v>205</v>
      </c>
      <c r="E229" s="97" t="s">
        <v>120</v>
      </c>
      <c r="F229" s="97" t="s">
        <v>112</v>
      </c>
      <c r="G229" s="97">
        <v>26</v>
      </c>
      <c r="H229" s="97">
        <v>781</v>
      </c>
      <c r="I229" s="97">
        <v>1019</v>
      </c>
      <c r="J229" s="97">
        <f t="shared" si="62"/>
        <v>20306</v>
      </c>
      <c r="K229" s="97">
        <f t="shared" si="63"/>
        <v>26494</v>
      </c>
      <c r="L229" s="97">
        <f t="shared" si="64"/>
        <v>6188</v>
      </c>
      <c r="M229" s="97" t="str">
        <f t="shared" si="65"/>
        <v>profit</v>
      </c>
      <c r="N229" s="100" t="b">
        <f t="shared" si="66"/>
        <v>1</v>
      </c>
      <c r="V229" s="99">
        <v>45464</v>
      </c>
      <c r="W229" s="97" t="s">
        <v>202</v>
      </c>
      <c r="X229" s="19" t="s">
        <v>127</v>
      </c>
      <c r="Y229" s="97" t="s">
        <v>186</v>
      </c>
      <c r="Z229" s="97" t="s">
        <v>137</v>
      </c>
      <c r="AA229" s="97" t="s">
        <v>112</v>
      </c>
      <c r="AB229" s="97">
        <v>77</v>
      </c>
      <c r="AC229" s="97">
        <v>923</v>
      </c>
      <c r="AD229" s="97">
        <v>1132</v>
      </c>
      <c r="AE229" s="97">
        <f t="shared" si="67"/>
        <v>71071</v>
      </c>
      <c r="AF229" s="97">
        <f t="shared" si="71"/>
        <v>87164</v>
      </c>
      <c r="AG229" s="97">
        <f t="shared" si="68"/>
        <v>16093</v>
      </c>
      <c r="AH229" s="97" t="str">
        <f t="shared" si="69"/>
        <v>profit</v>
      </c>
      <c r="AI229" s="100" t="b">
        <f t="shared" si="70"/>
        <v>1</v>
      </c>
    </row>
    <row r="230" spans="1:35" x14ac:dyDescent="0.3">
      <c r="A230" s="99">
        <v>45426</v>
      </c>
      <c r="B230" s="97" t="s">
        <v>259</v>
      </c>
      <c r="C230" s="19" t="s">
        <v>139</v>
      </c>
      <c r="D230" s="97" t="s">
        <v>205</v>
      </c>
      <c r="E230" s="97" t="s">
        <v>155</v>
      </c>
      <c r="F230" s="97" t="s">
        <v>112</v>
      </c>
      <c r="G230" s="97">
        <v>26</v>
      </c>
      <c r="H230" s="97">
        <v>630</v>
      </c>
      <c r="I230" s="97">
        <v>767</v>
      </c>
      <c r="J230" s="97">
        <f t="shared" si="62"/>
        <v>16380</v>
      </c>
      <c r="K230" s="97">
        <f t="shared" si="63"/>
        <v>19942</v>
      </c>
      <c r="L230" s="97">
        <f t="shared" si="64"/>
        <v>3562</v>
      </c>
      <c r="M230" s="97" t="str">
        <f t="shared" si="65"/>
        <v>profit</v>
      </c>
      <c r="N230" s="100" t="b">
        <f t="shared" si="66"/>
        <v>0</v>
      </c>
      <c r="V230" s="99">
        <v>45384</v>
      </c>
      <c r="W230" s="97" t="s">
        <v>219</v>
      </c>
      <c r="X230" s="19" t="s">
        <v>139</v>
      </c>
      <c r="Y230" s="97" t="s">
        <v>220</v>
      </c>
      <c r="Z230" s="97" t="s">
        <v>137</v>
      </c>
      <c r="AA230" s="97" t="s">
        <v>123</v>
      </c>
      <c r="AB230" s="97">
        <v>30</v>
      </c>
      <c r="AC230" s="97">
        <v>719</v>
      </c>
      <c r="AD230" s="97">
        <v>1162</v>
      </c>
      <c r="AE230" s="97">
        <f t="shared" si="67"/>
        <v>21570</v>
      </c>
      <c r="AF230" s="97">
        <f t="shared" si="71"/>
        <v>34860</v>
      </c>
      <c r="AG230" s="97">
        <f t="shared" si="68"/>
        <v>13290</v>
      </c>
      <c r="AH230" s="97" t="str">
        <f t="shared" si="69"/>
        <v>profit</v>
      </c>
      <c r="AI230" s="100" t="b">
        <f t="shared" si="70"/>
        <v>1</v>
      </c>
    </row>
    <row r="231" spans="1:35" x14ac:dyDescent="0.3">
      <c r="A231" s="99">
        <v>45427</v>
      </c>
      <c r="B231" s="97" t="s">
        <v>260</v>
      </c>
      <c r="C231" s="19" t="s">
        <v>139</v>
      </c>
      <c r="D231" s="97" t="s">
        <v>205</v>
      </c>
      <c r="E231" s="97" t="s">
        <v>166</v>
      </c>
      <c r="F231" s="97" t="s">
        <v>112</v>
      </c>
      <c r="G231" s="97">
        <v>23</v>
      </c>
      <c r="H231" s="97">
        <v>972</v>
      </c>
      <c r="I231" s="97">
        <v>782</v>
      </c>
      <c r="J231" s="97">
        <f t="shared" si="62"/>
        <v>22356</v>
      </c>
      <c r="K231" s="97">
        <f t="shared" si="63"/>
        <v>17986</v>
      </c>
      <c r="L231" s="97">
        <f t="shared" si="64"/>
        <v>-4370</v>
      </c>
      <c r="M231" s="97" t="str">
        <f t="shared" si="65"/>
        <v>loss</v>
      </c>
      <c r="N231" s="100" t="b">
        <f t="shared" si="66"/>
        <v>0</v>
      </c>
      <c r="V231" s="99">
        <v>45385</v>
      </c>
      <c r="W231" s="97" t="s">
        <v>221</v>
      </c>
      <c r="X231" s="19" t="s">
        <v>139</v>
      </c>
      <c r="Y231" s="97" t="s">
        <v>220</v>
      </c>
      <c r="Z231" s="97" t="s">
        <v>120</v>
      </c>
      <c r="AA231" s="97" t="s">
        <v>123</v>
      </c>
      <c r="AB231" s="97">
        <v>25</v>
      </c>
      <c r="AC231" s="97">
        <v>980</v>
      </c>
      <c r="AD231" s="97">
        <v>926</v>
      </c>
      <c r="AE231" s="97">
        <f t="shared" si="67"/>
        <v>24500</v>
      </c>
      <c r="AF231" s="97">
        <f t="shared" si="71"/>
        <v>23150</v>
      </c>
      <c r="AG231" s="97">
        <f t="shared" si="68"/>
        <v>-1350</v>
      </c>
      <c r="AH231" s="97" t="str">
        <f t="shared" si="69"/>
        <v>loss</v>
      </c>
      <c r="AI231" s="100" t="b">
        <f t="shared" si="70"/>
        <v>0</v>
      </c>
    </row>
    <row r="232" spans="1:35" x14ac:dyDescent="0.3">
      <c r="A232" s="99">
        <v>45614</v>
      </c>
      <c r="B232" s="97" t="s">
        <v>261</v>
      </c>
      <c r="C232" s="19" t="s">
        <v>139</v>
      </c>
      <c r="D232" s="97" t="s">
        <v>154</v>
      </c>
      <c r="E232" s="97" t="s">
        <v>129</v>
      </c>
      <c r="F232" s="97" t="s">
        <v>112</v>
      </c>
      <c r="G232" s="97">
        <v>23</v>
      </c>
      <c r="H232" s="97">
        <v>906</v>
      </c>
      <c r="I232" s="97">
        <v>1275</v>
      </c>
      <c r="J232" s="97">
        <f t="shared" si="62"/>
        <v>20838</v>
      </c>
      <c r="K232" s="97">
        <f t="shared" si="63"/>
        <v>29325</v>
      </c>
      <c r="L232" s="97">
        <f t="shared" si="64"/>
        <v>8487</v>
      </c>
      <c r="M232" s="97" t="str">
        <f t="shared" si="65"/>
        <v>profit</v>
      </c>
      <c r="N232" s="100" t="b">
        <f t="shared" si="66"/>
        <v>1</v>
      </c>
      <c r="V232" s="99">
        <v>45386</v>
      </c>
      <c r="W232" s="97" t="s">
        <v>223</v>
      </c>
      <c r="X232" s="19" t="s">
        <v>139</v>
      </c>
      <c r="Y232" s="97" t="s">
        <v>220</v>
      </c>
      <c r="Z232" s="97" t="s">
        <v>155</v>
      </c>
      <c r="AA232" s="97" t="s">
        <v>123</v>
      </c>
      <c r="AB232" s="97">
        <v>22</v>
      </c>
      <c r="AC232" s="97">
        <v>718</v>
      </c>
      <c r="AD232" s="97">
        <v>1335</v>
      </c>
      <c r="AE232" s="97">
        <f t="shared" si="67"/>
        <v>15796</v>
      </c>
      <c r="AF232" s="97">
        <f t="shared" si="71"/>
        <v>29370</v>
      </c>
      <c r="AG232" s="97">
        <f t="shared" si="68"/>
        <v>13574</v>
      </c>
      <c r="AH232" s="97" t="str">
        <f t="shared" si="69"/>
        <v>profit</v>
      </c>
      <c r="AI232" s="100" t="b">
        <f t="shared" si="70"/>
        <v>0</v>
      </c>
    </row>
    <row r="233" spans="1:35" x14ac:dyDescent="0.3">
      <c r="A233" s="99">
        <v>45428</v>
      </c>
      <c r="B233" s="97" t="s">
        <v>262</v>
      </c>
      <c r="C233" s="19" t="s">
        <v>139</v>
      </c>
      <c r="D233" s="97" t="s">
        <v>205</v>
      </c>
      <c r="E233" s="97" t="s">
        <v>168</v>
      </c>
      <c r="F233" s="97" t="s">
        <v>123</v>
      </c>
      <c r="G233" s="97">
        <v>30</v>
      </c>
      <c r="H233" s="97">
        <v>987</v>
      </c>
      <c r="I233" s="97">
        <v>1366</v>
      </c>
      <c r="J233" s="97">
        <f t="shared" si="62"/>
        <v>29610</v>
      </c>
      <c r="K233" s="97">
        <f t="shared" si="63"/>
        <v>40980</v>
      </c>
      <c r="L233" s="97">
        <f t="shared" si="64"/>
        <v>11370</v>
      </c>
      <c r="M233" s="97" t="str">
        <f t="shared" si="65"/>
        <v>profit</v>
      </c>
      <c r="N233" s="100" t="b">
        <f t="shared" si="66"/>
        <v>1</v>
      </c>
      <c r="V233" s="99">
        <v>45391</v>
      </c>
      <c r="W233" s="97" t="s">
        <v>224</v>
      </c>
      <c r="X233" s="19" t="s">
        <v>139</v>
      </c>
      <c r="Y233" s="97" t="s">
        <v>140</v>
      </c>
      <c r="Z233" s="97" t="s">
        <v>151</v>
      </c>
      <c r="AA233" s="97" t="s">
        <v>112</v>
      </c>
      <c r="AB233" s="97">
        <v>30</v>
      </c>
      <c r="AC233" s="97">
        <v>520</v>
      </c>
      <c r="AD233" s="97">
        <v>1251</v>
      </c>
      <c r="AE233" s="97">
        <f t="shared" si="67"/>
        <v>15600</v>
      </c>
      <c r="AF233" s="97">
        <f t="shared" si="71"/>
        <v>37530</v>
      </c>
      <c r="AG233" s="97">
        <f t="shared" si="68"/>
        <v>21930</v>
      </c>
      <c r="AH233" s="97" t="str">
        <f t="shared" si="69"/>
        <v>profit</v>
      </c>
      <c r="AI233" s="100" t="b">
        <f t="shared" si="70"/>
        <v>0</v>
      </c>
    </row>
    <row r="234" spans="1:35" x14ac:dyDescent="0.3">
      <c r="A234" s="99">
        <v>45616</v>
      </c>
      <c r="B234" s="97" t="s">
        <v>263</v>
      </c>
      <c r="C234" s="19" t="s">
        <v>139</v>
      </c>
      <c r="D234" s="97" t="s">
        <v>154</v>
      </c>
      <c r="E234" s="97" t="s">
        <v>133</v>
      </c>
      <c r="F234" s="97" t="s">
        <v>112</v>
      </c>
      <c r="G234" s="97">
        <v>24</v>
      </c>
      <c r="H234" s="97">
        <v>927</v>
      </c>
      <c r="I234" s="97">
        <v>1379</v>
      </c>
      <c r="J234" s="97">
        <f t="shared" si="62"/>
        <v>22248</v>
      </c>
      <c r="K234" s="97">
        <f t="shared" si="63"/>
        <v>33096</v>
      </c>
      <c r="L234" s="97">
        <f t="shared" si="64"/>
        <v>10848</v>
      </c>
      <c r="M234" s="97" t="str">
        <f t="shared" si="65"/>
        <v>profit</v>
      </c>
      <c r="N234" s="100" t="b">
        <f t="shared" si="66"/>
        <v>1</v>
      </c>
      <c r="V234" s="99">
        <v>45392</v>
      </c>
      <c r="W234" s="97" t="s">
        <v>225</v>
      </c>
      <c r="X234" s="19" t="s">
        <v>139</v>
      </c>
      <c r="Y234" s="97" t="s">
        <v>140</v>
      </c>
      <c r="Z234" s="97" t="s">
        <v>129</v>
      </c>
      <c r="AA234" s="97" t="s">
        <v>112</v>
      </c>
      <c r="AB234" s="97">
        <v>26</v>
      </c>
      <c r="AC234" s="97">
        <v>808</v>
      </c>
      <c r="AD234" s="97">
        <v>1135</v>
      </c>
      <c r="AE234" s="97">
        <f t="shared" si="67"/>
        <v>21008</v>
      </c>
      <c r="AF234" s="97">
        <f t="shared" si="71"/>
        <v>29510</v>
      </c>
      <c r="AG234" s="97">
        <f t="shared" si="68"/>
        <v>8502</v>
      </c>
      <c r="AH234" s="97" t="str">
        <f t="shared" si="69"/>
        <v>profit</v>
      </c>
      <c r="AI234" s="100" t="b">
        <f t="shared" si="70"/>
        <v>1</v>
      </c>
    </row>
    <row r="235" spans="1:35" x14ac:dyDescent="0.3">
      <c r="A235" s="99">
        <v>45429</v>
      </c>
      <c r="B235" s="97" t="s">
        <v>264</v>
      </c>
      <c r="C235" s="19" t="s">
        <v>139</v>
      </c>
      <c r="D235" s="97" t="s">
        <v>205</v>
      </c>
      <c r="E235" s="97" t="s">
        <v>129</v>
      </c>
      <c r="F235" s="97" t="s">
        <v>123</v>
      </c>
      <c r="G235" s="97">
        <v>25</v>
      </c>
      <c r="H235" s="97">
        <v>877</v>
      </c>
      <c r="I235" s="97">
        <v>797</v>
      </c>
      <c r="J235" s="97">
        <f t="shared" si="62"/>
        <v>21925</v>
      </c>
      <c r="K235" s="97">
        <f t="shared" si="63"/>
        <v>19925</v>
      </c>
      <c r="L235" s="97">
        <f t="shared" si="64"/>
        <v>-2000</v>
      </c>
      <c r="M235" s="97" t="str">
        <f t="shared" si="65"/>
        <v>loss</v>
      </c>
      <c r="N235" s="100" t="b">
        <f t="shared" si="66"/>
        <v>0</v>
      </c>
      <c r="V235" s="99">
        <v>45393</v>
      </c>
      <c r="W235" s="97" t="s">
        <v>226</v>
      </c>
      <c r="X235" s="19" t="s">
        <v>139</v>
      </c>
      <c r="Y235" s="97" t="s">
        <v>140</v>
      </c>
      <c r="Z235" s="97" t="s">
        <v>133</v>
      </c>
      <c r="AA235" s="97" t="s">
        <v>112</v>
      </c>
      <c r="AB235" s="97">
        <v>23</v>
      </c>
      <c r="AC235" s="97">
        <v>504</v>
      </c>
      <c r="AD235" s="97">
        <v>1328</v>
      </c>
      <c r="AE235" s="97">
        <f t="shared" si="67"/>
        <v>11592</v>
      </c>
      <c r="AF235" s="97">
        <f t="shared" si="71"/>
        <v>30544</v>
      </c>
      <c r="AG235" s="97">
        <f t="shared" si="68"/>
        <v>18952</v>
      </c>
      <c r="AH235" s="97" t="str">
        <f t="shared" si="69"/>
        <v>profit</v>
      </c>
      <c r="AI235" s="100" t="b">
        <f t="shared" si="70"/>
        <v>0</v>
      </c>
    </row>
    <row r="236" spans="1:35" x14ac:dyDescent="0.3">
      <c r="A236" s="99">
        <v>45430</v>
      </c>
      <c r="B236" s="97" t="s">
        <v>265</v>
      </c>
      <c r="C236" s="19" t="s">
        <v>139</v>
      </c>
      <c r="D236" s="97" t="s">
        <v>205</v>
      </c>
      <c r="E236" s="97" t="s">
        <v>137</v>
      </c>
      <c r="F236" s="97" t="s">
        <v>123</v>
      </c>
      <c r="G236" s="97">
        <v>26</v>
      </c>
      <c r="H236" s="97">
        <v>596</v>
      </c>
      <c r="I236" s="97">
        <v>1136</v>
      </c>
      <c r="J236" s="97">
        <f t="shared" si="62"/>
        <v>15496</v>
      </c>
      <c r="K236" s="97">
        <f t="shared" si="63"/>
        <v>29536</v>
      </c>
      <c r="L236" s="97">
        <f t="shared" si="64"/>
        <v>14040</v>
      </c>
      <c r="M236" s="97" t="str">
        <f t="shared" si="65"/>
        <v>profit</v>
      </c>
      <c r="N236" s="100" t="b">
        <f t="shared" si="66"/>
        <v>0</v>
      </c>
      <c r="V236" s="99">
        <v>45394</v>
      </c>
      <c r="W236" s="97" t="s">
        <v>228</v>
      </c>
      <c r="X236" s="19" t="s">
        <v>139</v>
      </c>
      <c r="Y236" s="97" t="s">
        <v>140</v>
      </c>
      <c r="Z236" s="97" t="s">
        <v>133</v>
      </c>
      <c r="AA236" s="97" t="s">
        <v>112</v>
      </c>
      <c r="AB236" s="97">
        <v>28</v>
      </c>
      <c r="AC236" s="97">
        <v>918</v>
      </c>
      <c r="AD236" s="97">
        <v>808</v>
      </c>
      <c r="AE236" s="97">
        <f t="shared" si="67"/>
        <v>25704</v>
      </c>
      <c r="AF236" s="97">
        <f t="shared" si="71"/>
        <v>22624</v>
      </c>
      <c r="AG236" s="97">
        <f t="shared" si="68"/>
        <v>-3080</v>
      </c>
      <c r="AH236" s="97" t="str">
        <f t="shared" si="69"/>
        <v>loss</v>
      </c>
      <c r="AI236" s="100" t="b">
        <f t="shared" si="70"/>
        <v>0</v>
      </c>
    </row>
    <row r="237" spans="1:35" x14ac:dyDescent="0.3">
      <c r="A237" s="99">
        <v>45484</v>
      </c>
      <c r="B237" s="97" t="s">
        <v>266</v>
      </c>
      <c r="C237" s="19" t="s">
        <v>139</v>
      </c>
      <c r="D237" s="97" t="s">
        <v>205</v>
      </c>
      <c r="E237" s="97" t="s">
        <v>133</v>
      </c>
      <c r="F237" s="97" t="s">
        <v>123</v>
      </c>
      <c r="G237" s="97">
        <v>26</v>
      </c>
      <c r="H237" s="97">
        <v>771</v>
      </c>
      <c r="I237" s="97">
        <v>1172</v>
      </c>
      <c r="J237" s="97">
        <f t="shared" si="62"/>
        <v>20046</v>
      </c>
      <c r="K237" s="97">
        <f t="shared" si="63"/>
        <v>30472</v>
      </c>
      <c r="L237" s="97">
        <f t="shared" si="64"/>
        <v>10426</v>
      </c>
      <c r="M237" s="97" t="str">
        <f t="shared" si="65"/>
        <v>profit</v>
      </c>
      <c r="N237" s="100" t="b">
        <f t="shared" si="66"/>
        <v>1</v>
      </c>
      <c r="V237" s="99">
        <v>45396</v>
      </c>
      <c r="W237" s="97" t="s">
        <v>229</v>
      </c>
      <c r="X237" s="19" t="s">
        <v>139</v>
      </c>
      <c r="Y237" s="97" t="s">
        <v>140</v>
      </c>
      <c r="Z237" s="97" t="s">
        <v>122</v>
      </c>
      <c r="AA237" s="97" t="s">
        <v>112</v>
      </c>
      <c r="AB237" s="97">
        <v>27</v>
      </c>
      <c r="AC237" s="97">
        <v>966</v>
      </c>
      <c r="AD237" s="97">
        <v>850</v>
      </c>
      <c r="AE237" s="97">
        <f t="shared" si="67"/>
        <v>26082</v>
      </c>
      <c r="AF237" s="97">
        <f t="shared" si="71"/>
        <v>22950</v>
      </c>
      <c r="AG237" s="97">
        <f t="shared" si="68"/>
        <v>-3132</v>
      </c>
      <c r="AH237" s="97" t="str">
        <f t="shared" si="69"/>
        <v>loss</v>
      </c>
      <c r="AI237" s="100" t="b">
        <f t="shared" si="70"/>
        <v>0</v>
      </c>
    </row>
    <row r="238" spans="1:35" x14ac:dyDescent="0.3">
      <c r="A238" s="99">
        <v>45485</v>
      </c>
      <c r="B238" s="97" t="s">
        <v>267</v>
      </c>
      <c r="C238" s="19" t="s">
        <v>139</v>
      </c>
      <c r="D238" s="97" t="s">
        <v>205</v>
      </c>
      <c r="E238" s="97" t="s">
        <v>155</v>
      </c>
      <c r="F238" s="97" t="s">
        <v>123</v>
      </c>
      <c r="G238" s="97">
        <v>30</v>
      </c>
      <c r="H238" s="97">
        <v>859</v>
      </c>
      <c r="I238" s="97">
        <v>1123</v>
      </c>
      <c r="J238" s="97">
        <f t="shared" si="62"/>
        <v>25770</v>
      </c>
      <c r="K238" s="97" t="s">
        <v>340</v>
      </c>
      <c r="L238" s="97" t="e">
        <f t="shared" si="64"/>
        <v>#VALUE!</v>
      </c>
      <c r="M238" s="97" t="e">
        <f t="shared" si="65"/>
        <v>#VALUE!</v>
      </c>
      <c r="N238" s="100" t="e">
        <f t="shared" si="66"/>
        <v>#VALUE!</v>
      </c>
      <c r="V238" s="99">
        <v>45404</v>
      </c>
      <c r="W238" s="97" t="s">
        <v>231</v>
      </c>
      <c r="X238" s="19" t="s">
        <v>139</v>
      </c>
      <c r="Y238" s="97" t="s">
        <v>154</v>
      </c>
      <c r="Z238" s="97" t="s">
        <v>133</v>
      </c>
      <c r="AA238" s="97" t="s">
        <v>123</v>
      </c>
      <c r="AB238" s="97">
        <v>20</v>
      </c>
      <c r="AC238" s="97">
        <v>664</v>
      </c>
      <c r="AD238" s="97">
        <v>924</v>
      </c>
      <c r="AE238" s="97">
        <f t="shared" si="67"/>
        <v>13280</v>
      </c>
      <c r="AF238" s="97">
        <f t="shared" si="71"/>
        <v>18480</v>
      </c>
      <c r="AG238" s="97">
        <f t="shared" si="68"/>
        <v>5200</v>
      </c>
      <c r="AH238" s="97" t="str">
        <f t="shared" si="69"/>
        <v>profit</v>
      </c>
      <c r="AI238" s="100" t="b">
        <f t="shared" si="70"/>
        <v>0</v>
      </c>
    </row>
    <row r="239" spans="1:35" x14ac:dyDescent="0.3">
      <c r="A239" s="99">
        <v>45486</v>
      </c>
      <c r="B239" s="97" t="s">
        <v>268</v>
      </c>
      <c r="C239" s="19" t="s">
        <v>139</v>
      </c>
      <c r="D239" s="97" t="s">
        <v>205</v>
      </c>
      <c r="E239" s="97" t="s">
        <v>155</v>
      </c>
      <c r="F239" s="97" t="s">
        <v>123</v>
      </c>
      <c r="G239" s="97">
        <v>30</v>
      </c>
      <c r="H239" s="97">
        <v>726</v>
      </c>
      <c r="I239" s="97">
        <v>964</v>
      </c>
      <c r="J239" s="97">
        <f t="shared" si="62"/>
        <v>21780</v>
      </c>
      <c r="K239" s="97">
        <f t="shared" si="63"/>
        <v>28920</v>
      </c>
      <c r="L239" s="97">
        <f t="shared" si="64"/>
        <v>7140</v>
      </c>
      <c r="M239" s="97" t="str">
        <f t="shared" si="65"/>
        <v>profit</v>
      </c>
      <c r="N239" s="100" t="b">
        <f t="shared" si="66"/>
        <v>1</v>
      </c>
      <c r="V239" s="99">
        <v>45406</v>
      </c>
      <c r="W239" s="97" t="s">
        <v>233</v>
      </c>
      <c r="X239" s="19" t="s">
        <v>139</v>
      </c>
      <c r="Y239" s="97" t="s">
        <v>154</v>
      </c>
      <c r="Z239" s="97" t="s">
        <v>155</v>
      </c>
      <c r="AA239" s="97" t="s">
        <v>123</v>
      </c>
      <c r="AB239" s="97">
        <v>26</v>
      </c>
      <c r="AC239" s="97">
        <v>608</v>
      </c>
      <c r="AD239" s="97">
        <v>1125</v>
      </c>
      <c r="AE239" s="97">
        <f t="shared" si="67"/>
        <v>15808</v>
      </c>
      <c r="AF239" s="97">
        <f t="shared" si="71"/>
        <v>29250</v>
      </c>
      <c r="AG239" s="97">
        <f t="shared" si="68"/>
        <v>13442</v>
      </c>
      <c r="AH239" s="97" t="str">
        <f t="shared" si="69"/>
        <v>profit</v>
      </c>
      <c r="AI239" s="100" t="b">
        <f t="shared" si="70"/>
        <v>0</v>
      </c>
    </row>
    <row r="240" spans="1:35" x14ac:dyDescent="0.3">
      <c r="A240" s="99">
        <v>45487</v>
      </c>
      <c r="B240" s="97" t="s">
        <v>269</v>
      </c>
      <c r="C240" s="19" t="s">
        <v>139</v>
      </c>
      <c r="D240" s="97" t="s">
        <v>205</v>
      </c>
      <c r="E240" s="97" t="s">
        <v>151</v>
      </c>
      <c r="F240" s="97" t="s">
        <v>123</v>
      </c>
      <c r="G240" s="97">
        <v>29</v>
      </c>
      <c r="H240" s="97">
        <v>861</v>
      </c>
      <c r="I240" s="97">
        <v>820</v>
      </c>
      <c r="J240" s="97">
        <f t="shared" si="62"/>
        <v>24969</v>
      </c>
      <c r="K240" s="97">
        <f t="shared" si="63"/>
        <v>23780</v>
      </c>
      <c r="L240" s="97">
        <f t="shared" si="64"/>
        <v>-1189</v>
      </c>
      <c r="M240" s="97" t="str">
        <f t="shared" si="65"/>
        <v>loss</v>
      </c>
      <c r="N240" s="100" t="b">
        <f t="shared" si="66"/>
        <v>0</v>
      </c>
      <c r="V240" s="99">
        <v>45475</v>
      </c>
      <c r="W240" s="97" t="s">
        <v>203</v>
      </c>
      <c r="X240" s="19" t="s">
        <v>109</v>
      </c>
      <c r="Y240" s="97" t="s">
        <v>131</v>
      </c>
      <c r="Z240" s="97" t="s">
        <v>137</v>
      </c>
      <c r="AA240" s="97" t="s">
        <v>112</v>
      </c>
      <c r="AB240" s="97">
        <v>19</v>
      </c>
      <c r="AC240" s="97">
        <v>860</v>
      </c>
      <c r="AD240" s="97">
        <v>1234</v>
      </c>
      <c r="AE240" s="97">
        <f t="shared" si="67"/>
        <v>16340</v>
      </c>
      <c r="AF240" s="97">
        <f t="shared" si="71"/>
        <v>23446</v>
      </c>
      <c r="AG240" s="97">
        <f t="shared" si="68"/>
        <v>7106</v>
      </c>
      <c r="AH240" s="97" t="str">
        <f t="shared" si="69"/>
        <v>profit</v>
      </c>
      <c r="AI240" s="100" t="b">
        <f t="shared" si="70"/>
        <v>0</v>
      </c>
    </row>
    <row r="241" spans="1:35" x14ac:dyDescent="0.3">
      <c r="A241" s="99">
        <v>45489</v>
      </c>
      <c r="B241" s="97" t="s">
        <v>270</v>
      </c>
      <c r="C241" s="19" t="s">
        <v>139</v>
      </c>
      <c r="D241" s="97" t="s">
        <v>205</v>
      </c>
      <c r="E241" s="97" t="s">
        <v>125</v>
      </c>
      <c r="F241" s="97" t="s">
        <v>112</v>
      </c>
      <c r="G241" s="97">
        <v>24</v>
      </c>
      <c r="H241" s="97">
        <v>978</v>
      </c>
      <c r="I241" s="97">
        <v>773</v>
      </c>
      <c r="J241" s="97">
        <f t="shared" si="62"/>
        <v>23472</v>
      </c>
      <c r="K241" s="97">
        <f t="shared" si="63"/>
        <v>18552</v>
      </c>
      <c r="L241" s="97">
        <f t="shared" si="64"/>
        <v>-4920</v>
      </c>
      <c r="M241" s="97" t="str">
        <f t="shared" si="65"/>
        <v>loss</v>
      </c>
      <c r="N241" s="100" t="b">
        <f t="shared" si="66"/>
        <v>0</v>
      </c>
      <c r="V241" s="99">
        <v>45408</v>
      </c>
      <c r="W241" s="97" t="s">
        <v>235</v>
      </c>
      <c r="X241" s="19" t="s">
        <v>139</v>
      </c>
      <c r="Y241" s="97" t="s">
        <v>154</v>
      </c>
      <c r="Z241" s="97" t="s">
        <v>133</v>
      </c>
      <c r="AA241" s="97" t="s">
        <v>112</v>
      </c>
      <c r="AB241" s="97">
        <v>24</v>
      </c>
      <c r="AC241" s="97">
        <v>826</v>
      </c>
      <c r="AD241" s="97">
        <v>975</v>
      </c>
      <c r="AE241" s="97">
        <f t="shared" si="67"/>
        <v>19824</v>
      </c>
      <c r="AF241" s="97">
        <f t="shared" si="71"/>
        <v>23400</v>
      </c>
      <c r="AG241" s="97">
        <f t="shared" si="68"/>
        <v>3576</v>
      </c>
      <c r="AH241" s="97" t="str">
        <f t="shared" si="69"/>
        <v>profit</v>
      </c>
      <c r="AI241" s="100" t="b">
        <f t="shared" si="70"/>
        <v>0</v>
      </c>
    </row>
    <row r="242" spans="1:35" x14ac:dyDescent="0.3">
      <c r="A242" s="99">
        <v>45490</v>
      </c>
      <c r="B242" s="97" t="s">
        <v>271</v>
      </c>
      <c r="C242" s="19" t="s">
        <v>139</v>
      </c>
      <c r="D242" s="97" t="s">
        <v>205</v>
      </c>
      <c r="E242" s="97" t="s">
        <v>200</v>
      </c>
      <c r="F242" s="97" t="s">
        <v>112</v>
      </c>
      <c r="G242" s="97">
        <v>30</v>
      </c>
      <c r="H242" s="97">
        <v>514</v>
      </c>
      <c r="I242" s="97">
        <v>1333</v>
      </c>
      <c r="J242" s="97">
        <f t="shared" si="62"/>
        <v>15420</v>
      </c>
      <c r="K242" s="97">
        <f t="shared" si="63"/>
        <v>39990</v>
      </c>
      <c r="L242" s="97">
        <f t="shared" si="64"/>
        <v>24570</v>
      </c>
      <c r="M242" s="97" t="str">
        <f t="shared" si="65"/>
        <v>profit</v>
      </c>
      <c r="N242" s="100" t="b">
        <f t="shared" si="66"/>
        <v>0</v>
      </c>
      <c r="V242" s="99">
        <v>45409</v>
      </c>
      <c r="W242" s="97" t="s">
        <v>236</v>
      </c>
      <c r="X242" s="19" t="s">
        <v>139</v>
      </c>
      <c r="Y242" s="97" t="s">
        <v>154</v>
      </c>
      <c r="Z242" s="97" t="s">
        <v>125</v>
      </c>
      <c r="AA242" s="97" t="s">
        <v>112</v>
      </c>
      <c r="AB242" s="97">
        <v>24</v>
      </c>
      <c r="AC242" s="97">
        <v>877</v>
      </c>
      <c r="AD242" s="97">
        <v>762</v>
      </c>
      <c r="AE242" s="97">
        <f t="shared" si="67"/>
        <v>21048</v>
      </c>
      <c r="AF242" s="97">
        <f t="shared" si="71"/>
        <v>18288</v>
      </c>
      <c r="AG242" s="97">
        <f t="shared" si="68"/>
        <v>-2760</v>
      </c>
      <c r="AH242" s="97" t="str">
        <f t="shared" si="69"/>
        <v>loss</v>
      </c>
      <c r="AI242" s="100" t="b">
        <f t="shared" si="70"/>
        <v>0</v>
      </c>
    </row>
    <row r="243" spans="1:35" x14ac:dyDescent="0.3">
      <c r="A243" s="99">
        <v>45491</v>
      </c>
      <c r="B243" s="97" t="s">
        <v>272</v>
      </c>
      <c r="C243" s="19" t="s">
        <v>139</v>
      </c>
      <c r="D243" s="97" t="s">
        <v>205</v>
      </c>
      <c r="E243" s="97" t="s">
        <v>137</v>
      </c>
      <c r="F243" s="97" t="s">
        <v>112</v>
      </c>
      <c r="G243" s="97">
        <v>26</v>
      </c>
      <c r="H243" s="97">
        <v>656</v>
      </c>
      <c r="I243" s="97">
        <v>908</v>
      </c>
      <c r="J243" s="97">
        <f t="shared" si="62"/>
        <v>17056</v>
      </c>
      <c r="K243" s="97">
        <f t="shared" si="63"/>
        <v>23608</v>
      </c>
      <c r="L243" s="97">
        <f t="shared" si="64"/>
        <v>6552</v>
      </c>
      <c r="M243" s="97" t="str">
        <f t="shared" si="65"/>
        <v>profit</v>
      </c>
      <c r="N243" s="100" t="b">
        <f t="shared" si="66"/>
        <v>0</v>
      </c>
      <c r="V243" s="99">
        <v>45410</v>
      </c>
      <c r="W243" s="97" t="s">
        <v>237</v>
      </c>
      <c r="X243" s="19" t="s">
        <v>139</v>
      </c>
      <c r="Y243" s="97" t="s">
        <v>154</v>
      </c>
      <c r="Z243" s="97" t="s">
        <v>200</v>
      </c>
      <c r="AA243" s="97" t="s">
        <v>112</v>
      </c>
      <c r="AB243" s="97">
        <v>23</v>
      </c>
      <c r="AC243" s="97">
        <v>736</v>
      </c>
      <c r="AD243" s="97">
        <v>872</v>
      </c>
      <c r="AE243" s="97">
        <f t="shared" si="67"/>
        <v>16928</v>
      </c>
      <c r="AF243" s="97">
        <f t="shared" si="71"/>
        <v>20056</v>
      </c>
      <c r="AG243" s="97">
        <f t="shared" si="68"/>
        <v>3128</v>
      </c>
      <c r="AH243" s="97" t="str">
        <f t="shared" si="69"/>
        <v>profit</v>
      </c>
      <c r="AI243" s="100" t="b">
        <f t="shared" si="70"/>
        <v>0</v>
      </c>
    </row>
    <row r="244" spans="1:35" x14ac:dyDescent="0.3">
      <c r="A244" s="99">
        <v>45626</v>
      </c>
      <c r="B244" s="97" t="s">
        <v>273</v>
      </c>
      <c r="C244" s="19" t="s">
        <v>139</v>
      </c>
      <c r="D244" s="97" t="s">
        <v>205</v>
      </c>
      <c r="E244" s="97" t="s">
        <v>133</v>
      </c>
      <c r="F244" s="97" t="s">
        <v>112</v>
      </c>
      <c r="G244" s="97">
        <v>28</v>
      </c>
      <c r="H244" s="97">
        <v>866</v>
      </c>
      <c r="I244" s="97">
        <v>1102</v>
      </c>
      <c r="J244" s="97">
        <f t="shared" si="62"/>
        <v>24248</v>
      </c>
      <c r="K244" s="97">
        <f t="shared" si="63"/>
        <v>30856</v>
      </c>
      <c r="L244" s="97">
        <f t="shared" si="64"/>
        <v>6608</v>
      </c>
      <c r="M244" s="97" t="str">
        <f t="shared" si="65"/>
        <v>profit</v>
      </c>
      <c r="N244" s="100" t="b">
        <f t="shared" si="66"/>
        <v>1</v>
      </c>
      <c r="V244" s="99">
        <v>45411</v>
      </c>
      <c r="W244" s="97" t="s">
        <v>238</v>
      </c>
      <c r="X244" s="19" t="s">
        <v>139</v>
      </c>
      <c r="Y244" s="97" t="s">
        <v>154</v>
      </c>
      <c r="Z244" s="97" t="s">
        <v>137</v>
      </c>
      <c r="AA244" s="97" t="s">
        <v>112</v>
      </c>
      <c r="AB244" s="97">
        <v>27</v>
      </c>
      <c r="AC244" s="97">
        <v>828</v>
      </c>
      <c r="AD244" s="97">
        <v>1008</v>
      </c>
      <c r="AE244" s="97">
        <f t="shared" si="67"/>
        <v>22356</v>
      </c>
      <c r="AF244" s="97">
        <f t="shared" si="71"/>
        <v>27216</v>
      </c>
      <c r="AG244" s="97">
        <f t="shared" si="68"/>
        <v>4860</v>
      </c>
      <c r="AH244" s="97" t="str">
        <f t="shared" si="69"/>
        <v>profit</v>
      </c>
      <c r="AI244" s="100" t="b">
        <f t="shared" si="70"/>
        <v>1</v>
      </c>
    </row>
    <row r="245" spans="1:35" x14ac:dyDescent="0.3">
      <c r="A245" s="99">
        <v>45492</v>
      </c>
      <c r="B245" s="97" t="s">
        <v>274</v>
      </c>
      <c r="C245" s="19" t="s">
        <v>139</v>
      </c>
      <c r="D245" s="97" t="s">
        <v>205</v>
      </c>
      <c r="E245" s="97" t="s">
        <v>240</v>
      </c>
      <c r="F245" s="97" t="s">
        <v>112</v>
      </c>
      <c r="G245" s="97">
        <v>28</v>
      </c>
      <c r="H245" s="97">
        <v>866</v>
      </c>
      <c r="I245" s="97">
        <v>1080</v>
      </c>
      <c r="J245" s="97">
        <f t="shared" si="62"/>
        <v>24248</v>
      </c>
      <c r="K245" s="97">
        <f t="shared" si="63"/>
        <v>30240</v>
      </c>
      <c r="L245" s="97">
        <f t="shared" si="64"/>
        <v>5992</v>
      </c>
      <c r="M245" s="97" t="str">
        <f t="shared" si="65"/>
        <v>profit</v>
      </c>
      <c r="N245" s="100" t="b">
        <f t="shared" si="66"/>
        <v>1</v>
      </c>
      <c r="V245" s="99">
        <v>45412</v>
      </c>
      <c r="W245" s="97" t="s">
        <v>239</v>
      </c>
      <c r="X245" s="19" t="s">
        <v>139</v>
      </c>
      <c r="Y245" s="97" t="s">
        <v>154</v>
      </c>
      <c r="Z245" s="97" t="s">
        <v>240</v>
      </c>
      <c r="AA245" s="97" t="s">
        <v>112</v>
      </c>
      <c r="AB245" s="97">
        <v>28</v>
      </c>
      <c r="AC245" s="97">
        <v>901</v>
      </c>
      <c r="AD245" s="97">
        <v>1260</v>
      </c>
      <c r="AE245" s="97">
        <f t="shared" si="67"/>
        <v>25228</v>
      </c>
      <c r="AF245" s="97">
        <f t="shared" si="71"/>
        <v>35280</v>
      </c>
      <c r="AG245" s="97">
        <f t="shared" si="68"/>
        <v>10052</v>
      </c>
      <c r="AH245" s="97" t="str">
        <f t="shared" si="69"/>
        <v>profit</v>
      </c>
      <c r="AI245" s="100" t="b">
        <f t="shared" si="70"/>
        <v>1</v>
      </c>
    </row>
    <row r="246" spans="1:35" x14ac:dyDescent="0.3">
      <c r="A246" s="99">
        <v>45493</v>
      </c>
      <c r="B246" s="97" t="s">
        <v>275</v>
      </c>
      <c r="C246" s="19" t="s">
        <v>139</v>
      </c>
      <c r="D246" s="97" t="s">
        <v>205</v>
      </c>
      <c r="E246" s="97" t="s">
        <v>242</v>
      </c>
      <c r="F246" s="97" t="s">
        <v>112</v>
      </c>
      <c r="G246" s="97">
        <v>23</v>
      </c>
      <c r="H246" s="97">
        <v>969</v>
      </c>
      <c r="I246" s="97">
        <v>1075</v>
      </c>
      <c r="J246" s="97">
        <f t="shared" si="62"/>
        <v>22287</v>
      </c>
      <c r="K246" s="97">
        <f t="shared" si="63"/>
        <v>24725</v>
      </c>
      <c r="L246" s="97">
        <f t="shared" si="64"/>
        <v>2438</v>
      </c>
      <c r="M246" s="97" t="str">
        <f t="shared" si="65"/>
        <v>profit</v>
      </c>
      <c r="N246" s="100" t="b">
        <f t="shared" si="66"/>
        <v>1</v>
      </c>
      <c r="V246" s="99">
        <v>45413</v>
      </c>
      <c r="W246" s="97" t="s">
        <v>241</v>
      </c>
      <c r="X246" s="19" t="s">
        <v>139</v>
      </c>
      <c r="Y246" s="97" t="s">
        <v>154</v>
      </c>
      <c r="Z246" s="97" t="s">
        <v>242</v>
      </c>
      <c r="AA246" s="97" t="s">
        <v>112</v>
      </c>
      <c r="AB246" s="97">
        <v>28</v>
      </c>
      <c r="AC246" s="97">
        <v>796</v>
      </c>
      <c r="AD246" s="97">
        <v>1407</v>
      </c>
      <c r="AE246" s="97">
        <f t="shared" si="67"/>
        <v>22288</v>
      </c>
      <c r="AF246" s="97">
        <f t="shared" si="71"/>
        <v>39396</v>
      </c>
      <c r="AG246" s="97">
        <f t="shared" si="68"/>
        <v>17108</v>
      </c>
      <c r="AH246" s="97" t="str">
        <f t="shared" si="69"/>
        <v>profit</v>
      </c>
      <c r="AI246" s="100" t="b">
        <f t="shared" si="70"/>
        <v>1</v>
      </c>
    </row>
    <row r="247" spans="1:35" x14ac:dyDescent="0.3">
      <c r="A247" s="99">
        <v>45629</v>
      </c>
      <c r="B247" s="97" t="s">
        <v>276</v>
      </c>
      <c r="C247" s="19" t="s">
        <v>139</v>
      </c>
      <c r="D247" s="97" t="s">
        <v>205</v>
      </c>
      <c r="E247" s="97" t="s">
        <v>151</v>
      </c>
      <c r="F247" s="97" t="s">
        <v>123</v>
      </c>
      <c r="G247" s="97">
        <v>29</v>
      </c>
      <c r="H247" s="97">
        <v>639</v>
      </c>
      <c r="I247" s="97">
        <v>1257</v>
      </c>
      <c r="J247" s="97">
        <f t="shared" si="62"/>
        <v>18531</v>
      </c>
      <c r="K247" s="97">
        <f t="shared" si="63"/>
        <v>36453</v>
      </c>
      <c r="L247" s="97">
        <f t="shared" si="64"/>
        <v>17922</v>
      </c>
      <c r="M247" s="97" t="str">
        <f t="shared" si="65"/>
        <v>profit</v>
      </c>
      <c r="N247" s="100" t="b">
        <f t="shared" si="66"/>
        <v>0</v>
      </c>
      <c r="V247" s="99">
        <v>45414</v>
      </c>
      <c r="W247" s="97" t="s">
        <v>243</v>
      </c>
      <c r="X247" s="19" t="s">
        <v>139</v>
      </c>
      <c r="Y247" s="97" t="s">
        <v>154</v>
      </c>
      <c r="Z247" s="97" t="s">
        <v>111</v>
      </c>
      <c r="AA247" s="97" t="s">
        <v>123</v>
      </c>
      <c r="AB247" s="97">
        <v>27</v>
      </c>
      <c r="AC247" s="97">
        <v>794</v>
      </c>
      <c r="AD247" s="97">
        <v>905</v>
      </c>
      <c r="AE247" s="97">
        <f t="shared" si="67"/>
        <v>21438</v>
      </c>
      <c r="AF247" s="97">
        <f t="shared" si="71"/>
        <v>24435</v>
      </c>
      <c r="AG247" s="97">
        <f t="shared" si="68"/>
        <v>2997</v>
      </c>
      <c r="AH247" s="97" t="str">
        <f t="shared" si="69"/>
        <v>profit</v>
      </c>
      <c r="AI247" s="100" t="b">
        <f t="shared" si="70"/>
        <v>1</v>
      </c>
    </row>
    <row r="248" spans="1:35" x14ac:dyDescent="0.3">
      <c r="A248" s="99">
        <v>45494</v>
      </c>
      <c r="B248" s="97" t="s">
        <v>277</v>
      </c>
      <c r="C248" s="19" t="s">
        <v>139</v>
      </c>
      <c r="D248" s="97" t="s">
        <v>205</v>
      </c>
      <c r="E248" s="97" t="s">
        <v>111</v>
      </c>
      <c r="F248" s="97" t="s">
        <v>112</v>
      </c>
      <c r="G248" s="97">
        <v>21</v>
      </c>
      <c r="H248" s="97">
        <v>626</v>
      </c>
      <c r="I248" s="97">
        <v>772</v>
      </c>
      <c r="J248" s="97">
        <f t="shared" si="62"/>
        <v>13146</v>
      </c>
      <c r="K248" s="97">
        <f t="shared" si="63"/>
        <v>16212</v>
      </c>
      <c r="L248" s="97">
        <f t="shared" si="64"/>
        <v>3066</v>
      </c>
      <c r="M248" s="97" t="str">
        <f t="shared" si="65"/>
        <v>profit</v>
      </c>
      <c r="N248" s="100" t="b">
        <f t="shared" si="66"/>
        <v>0</v>
      </c>
      <c r="V248" s="99">
        <v>45415</v>
      </c>
      <c r="W248" s="97" t="s">
        <v>244</v>
      </c>
      <c r="X248" s="19" t="s">
        <v>139</v>
      </c>
      <c r="Y248" s="97" t="s">
        <v>154</v>
      </c>
      <c r="Z248" s="97" t="s">
        <v>115</v>
      </c>
      <c r="AA248" s="97" t="s">
        <v>123</v>
      </c>
      <c r="AB248" s="97">
        <v>20</v>
      </c>
      <c r="AC248" s="97">
        <v>812</v>
      </c>
      <c r="AD248" s="97">
        <v>1248</v>
      </c>
      <c r="AE248" s="97">
        <f t="shared" si="67"/>
        <v>16240</v>
      </c>
      <c r="AF248" s="97">
        <f t="shared" si="71"/>
        <v>24960</v>
      </c>
      <c r="AG248" s="97">
        <f t="shared" si="68"/>
        <v>8720</v>
      </c>
      <c r="AH248" s="97" t="str">
        <f t="shared" si="69"/>
        <v>profit</v>
      </c>
      <c r="AI248" s="100" t="b">
        <f t="shared" si="70"/>
        <v>0</v>
      </c>
    </row>
    <row r="249" spans="1:35" x14ac:dyDescent="0.3">
      <c r="A249" s="99">
        <v>45517</v>
      </c>
      <c r="B249" s="97" t="s">
        <v>278</v>
      </c>
      <c r="C249" s="19" t="s">
        <v>139</v>
      </c>
      <c r="D249" s="97" t="s">
        <v>205</v>
      </c>
      <c r="E249" s="97" t="s">
        <v>137</v>
      </c>
      <c r="F249" s="97" t="s">
        <v>123</v>
      </c>
      <c r="G249" s="97">
        <v>26</v>
      </c>
      <c r="H249" s="97">
        <v>715</v>
      </c>
      <c r="I249" s="97">
        <v>1113</v>
      </c>
      <c r="J249" s="97">
        <f t="shared" si="62"/>
        <v>18590</v>
      </c>
      <c r="K249" s="97">
        <f t="shared" si="63"/>
        <v>28938</v>
      </c>
      <c r="L249" s="97">
        <f t="shared" si="64"/>
        <v>10348</v>
      </c>
      <c r="M249" s="97" t="str">
        <f t="shared" si="65"/>
        <v>profit</v>
      </c>
      <c r="N249" s="100" t="b">
        <f t="shared" si="66"/>
        <v>0</v>
      </c>
      <c r="V249" s="99">
        <v>45416</v>
      </c>
      <c r="W249" s="97" t="s">
        <v>245</v>
      </c>
      <c r="X249" s="19" t="s">
        <v>139</v>
      </c>
      <c r="Y249" s="97" t="s">
        <v>154</v>
      </c>
      <c r="Z249" s="97" t="s">
        <v>118</v>
      </c>
      <c r="AA249" s="97" t="s">
        <v>123</v>
      </c>
      <c r="AB249" s="97">
        <v>20</v>
      </c>
      <c r="AC249" s="97">
        <v>908</v>
      </c>
      <c r="AD249" s="97">
        <v>1130</v>
      </c>
      <c r="AE249" s="97">
        <f t="shared" si="67"/>
        <v>18160</v>
      </c>
      <c r="AF249" s="97">
        <f t="shared" si="71"/>
        <v>22600</v>
      </c>
      <c r="AG249" s="97">
        <f t="shared" si="68"/>
        <v>4440</v>
      </c>
      <c r="AH249" s="97" t="str">
        <f t="shared" si="69"/>
        <v>profit</v>
      </c>
      <c r="AI249" s="100" t="b">
        <f t="shared" si="70"/>
        <v>0</v>
      </c>
    </row>
    <row r="250" spans="1:35" x14ac:dyDescent="0.3">
      <c r="A250" s="99">
        <v>45518</v>
      </c>
      <c r="B250" s="97" t="s">
        <v>279</v>
      </c>
      <c r="C250" s="19" t="s">
        <v>139</v>
      </c>
      <c r="D250" s="97" t="s">
        <v>205</v>
      </c>
      <c r="E250" s="97" t="s">
        <v>142</v>
      </c>
      <c r="F250" s="97" t="s">
        <v>123</v>
      </c>
      <c r="G250" s="97">
        <v>27</v>
      </c>
      <c r="H250" s="97">
        <v>611</v>
      </c>
      <c r="I250" s="97">
        <v>1309</v>
      </c>
      <c r="J250" s="97">
        <f t="shared" si="62"/>
        <v>16497</v>
      </c>
      <c r="K250" s="97">
        <f t="shared" si="63"/>
        <v>35343</v>
      </c>
      <c r="L250" s="97">
        <f t="shared" si="64"/>
        <v>18846</v>
      </c>
      <c r="M250" s="97" t="str">
        <f t="shared" si="65"/>
        <v>profit</v>
      </c>
      <c r="N250" s="100" t="b">
        <f t="shared" si="66"/>
        <v>0</v>
      </c>
      <c r="V250" s="99">
        <v>45417</v>
      </c>
      <c r="W250" s="97" t="s">
        <v>246</v>
      </c>
      <c r="X250" s="19" t="s">
        <v>139</v>
      </c>
      <c r="Y250" s="97" t="s">
        <v>154</v>
      </c>
      <c r="Z250" s="97" t="s">
        <v>120</v>
      </c>
      <c r="AA250" s="97" t="s">
        <v>123</v>
      </c>
      <c r="AB250" s="97">
        <v>23</v>
      </c>
      <c r="AC250" s="97">
        <v>846</v>
      </c>
      <c r="AD250" s="97">
        <v>1143</v>
      </c>
      <c r="AE250" s="97">
        <f t="shared" si="67"/>
        <v>19458</v>
      </c>
      <c r="AF250" s="97">
        <f t="shared" si="71"/>
        <v>26289</v>
      </c>
      <c r="AG250" s="97">
        <f t="shared" si="68"/>
        <v>6831</v>
      </c>
      <c r="AH250" s="97" t="str">
        <f t="shared" si="69"/>
        <v>profit</v>
      </c>
      <c r="AI250" s="100" t="b">
        <f t="shared" si="70"/>
        <v>0</v>
      </c>
    </row>
    <row r="251" spans="1:35" x14ac:dyDescent="0.3">
      <c r="A251" s="99">
        <v>45519</v>
      </c>
      <c r="B251" s="97" t="s">
        <v>280</v>
      </c>
      <c r="C251" s="19" t="s">
        <v>139</v>
      </c>
      <c r="D251" s="97" t="s">
        <v>205</v>
      </c>
      <c r="E251" s="97" t="s">
        <v>122</v>
      </c>
      <c r="F251" s="97" t="s">
        <v>112</v>
      </c>
      <c r="G251" s="97">
        <v>29</v>
      </c>
      <c r="H251" s="97">
        <v>544</v>
      </c>
      <c r="I251" s="97">
        <v>1436</v>
      </c>
      <c r="J251" s="97">
        <f t="shared" si="62"/>
        <v>15776</v>
      </c>
      <c r="K251" s="97">
        <f t="shared" si="63"/>
        <v>41644</v>
      </c>
      <c r="L251" s="97">
        <f t="shared" si="64"/>
        <v>25868</v>
      </c>
      <c r="M251" s="97" t="str">
        <f t="shared" si="65"/>
        <v>profit</v>
      </c>
      <c r="N251" s="100" t="b">
        <f t="shared" si="66"/>
        <v>0</v>
      </c>
      <c r="V251" s="99">
        <v>45418</v>
      </c>
      <c r="W251" s="97" t="s">
        <v>247</v>
      </c>
      <c r="X251" s="19" t="s">
        <v>139</v>
      </c>
      <c r="Y251" s="97" t="s">
        <v>154</v>
      </c>
      <c r="Z251" s="97" t="s">
        <v>120</v>
      </c>
      <c r="AA251" s="97" t="s">
        <v>112</v>
      </c>
      <c r="AB251" s="97">
        <v>25</v>
      </c>
      <c r="AC251" s="97">
        <v>627</v>
      </c>
      <c r="AD251" s="97">
        <v>1071</v>
      </c>
      <c r="AE251" s="97">
        <f t="shared" si="67"/>
        <v>15675</v>
      </c>
      <c r="AF251" s="97">
        <f t="shared" si="71"/>
        <v>26775</v>
      </c>
      <c r="AG251" s="97">
        <f t="shared" si="68"/>
        <v>11100</v>
      </c>
      <c r="AH251" s="97" t="str">
        <f t="shared" si="69"/>
        <v>profit</v>
      </c>
      <c r="AI251" s="100" t="b">
        <f t="shared" si="70"/>
        <v>0</v>
      </c>
    </row>
    <row r="252" spans="1:35" x14ac:dyDescent="0.3">
      <c r="A252" s="99">
        <v>45634</v>
      </c>
      <c r="B252" s="97" t="s">
        <v>281</v>
      </c>
      <c r="C252" s="19" t="s">
        <v>139</v>
      </c>
      <c r="D252" s="97" t="s">
        <v>205</v>
      </c>
      <c r="E252" s="97" t="s">
        <v>240</v>
      </c>
      <c r="F252" s="97" t="s">
        <v>123</v>
      </c>
      <c r="G252" s="97">
        <v>23</v>
      </c>
      <c r="H252" s="97">
        <v>771</v>
      </c>
      <c r="I252" s="97">
        <v>1430</v>
      </c>
      <c r="J252" s="97">
        <f t="shared" si="62"/>
        <v>17733</v>
      </c>
      <c r="K252" s="97" t="s">
        <v>340</v>
      </c>
      <c r="L252" s="97" t="e">
        <f t="shared" si="64"/>
        <v>#VALUE!</v>
      </c>
      <c r="M252" s="97" t="e">
        <f t="shared" si="65"/>
        <v>#VALUE!</v>
      </c>
      <c r="N252" s="100" t="e">
        <f t="shared" si="66"/>
        <v>#VALUE!</v>
      </c>
      <c r="V252" s="99">
        <v>45419</v>
      </c>
      <c r="W252" s="97" t="s">
        <v>250</v>
      </c>
      <c r="X252" s="19" t="s">
        <v>139</v>
      </c>
      <c r="Y252" s="97" t="s">
        <v>205</v>
      </c>
      <c r="Z252" s="97" t="s">
        <v>122</v>
      </c>
      <c r="AA252" s="97" t="s">
        <v>112</v>
      </c>
      <c r="AB252" s="97">
        <v>27</v>
      </c>
      <c r="AC252" s="97">
        <v>817</v>
      </c>
      <c r="AD252" s="97">
        <v>977</v>
      </c>
      <c r="AE252" s="97">
        <f t="shared" si="67"/>
        <v>22059</v>
      </c>
      <c r="AF252" s="97">
        <f t="shared" si="71"/>
        <v>26379</v>
      </c>
      <c r="AG252" s="97">
        <f t="shared" si="68"/>
        <v>4320</v>
      </c>
      <c r="AH252" s="97" t="str">
        <f t="shared" si="69"/>
        <v>profit</v>
      </c>
      <c r="AI252" s="100" t="b">
        <f t="shared" si="70"/>
        <v>1</v>
      </c>
    </row>
    <row r="253" spans="1:35" x14ac:dyDescent="0.3">
      <c r="A253" s="99">
        <v>45521</v>
      </c>
      <c r="B253" s="97" t="s">
        <v>282</v>
      </c>
      <c r="C253" s="19" t="s">
        <v>139</v>
      </c>
      <c r="D253" s="97" t="s">
        <v>205</v>
      </c>
      <c r="E253" s="97" t="s">
        <v>146</v>
      </c>
      <c r="F253" s="97" t="s">
        <v>123</v>
      </c>
      <c r="G253" s="97">
        <v>30</v>
      </c>
      <c r="H253" s="97">
        <v>652</v>
      </c>
      <c r="I253" s="97">
        <v>1151</v>
      </c>
      <c r="J253" s="97">
        <f t="shared" si="62"/>
        <v>19560</v>
      </c>
      <c r="K253" s="97">
        <f t="shared" si="63"/>
        <v>34530</v>
      </c>
      <c r="L253" s="97">
        <f t="shared" si="64"/>
        <v>14970</v>
      </c>
      <c r="M253" s="97" t="str">
        <f t="shared" si="65"/>
        <v>profit</v>
      </c>
      <c r="N253" s="100" t="b">
        <f t="shared" si="66"/>
        <v>0</v>
      </c>
      <c r="V253" s="99">
        <v>45488</v>
      </c>
      <c r="W253" s="97" t="s">
        <v>204</v>
      </c>
      <c r="X253" s="19" t="s">
        <v>139</v>
      </c>
      <c r="Y253" s="97" t="s">
        <v>205</v>
      </c>
      <c r="Z253" s="97" t="s">
        <v>133</v>
      </c>
      <c r="AA253" s="97" t="s">
        <v>112</v>
      </c>
      <c r="AB253" s="97">
        <v>29</v>
      </c>
      <c r="AC253" s="97">
        <v>929</v>
      </c>
      <c r="AD253" s="97">
        <v>1429</v>
      </c>
      <c r="AE253" s="97">
        <f t="shared" si="67"/>
        <v>26941</v>
      </c>
      <c r="AF253" s="97">
        <f t="shared" si="71"/>
        <v>41441</v>
      </c>
      <c r="AG253" s="97">
        <f t="shared" si="68"/>
        <v>14500</v>
      </c>
      <c r="AH253" s="97" t="str">
        <f t="shared" si="69"/>
        <v>profit</v>
      </c>
      <c r="AI253" s="100" t="b">
        <f t="shared" si="70"/>
        <v>1</v>
      </c>
    </row>
    <row r="254" spans="1:35" x14ac:dyDescent="0.3">
      <c r="A254" s="99">
        <v>45522</v>
      </c>
      <c r="B254" s="97" t="s">
        <v>194</v>
      </c>
      <c r="C254" s="19" t="s">
        <v>139</v>
      </c>
      <c r="D254" s="97" t="s">
        <v>205</v>
      </c>
      <c r="E254" s="97" t="s">
        <v>129</v>
      </c>
      <c r="F254" s="97" t="s">
        <v>123</v>
      </c>
      <c r="G254" s="97">
        <v>22</v>
      </c>
      <c r="H254" s="97">
        <v>681</v>
      </c>
      <c r="I254" s="97">
        <v>1087</v>
      </c>
      <c r="J254" s="97">
        <f t="shared" si="62"/>
        <v>14982</v>
      </c>
      <c r="K254" s="97">
        <f t="shared" si="63"/>
        <v>23914</v>
      </c>
      <c r="L254" s="97">
        <f t="shared" si="64"/>
        <v>8932</v>
      </c>
      <c r="M254" s="97" t="str">
        <f t="shared" si="65"/>
        <v>profit</v>
      </c>
      <c r="N254" s="100" t="b">
        <f t="shared" si="66"/>
        <v>0</v>
      </c>
      <c r="V254" s="99">
        <v>45420</v>
      </c>
      <c r="W254" s="97" t="s">
        <v>251</v>
      </c>
      <c r="X254" s="19" t="s">
        <v>139</v>
      </c>
      <c r="Y254" s="97" t="s">
        <v>205</v>
      </c>
      <c r="Z254" s="97" t="s">
        <v>125</v>
      </c>
      <c r="AA254" s="97" t="s">
        <v>112</v>
      </c>
      <c r="AB254" s="97">
        <v>27</v>
      </c>
      <c r="AC254" s="97">
        <v>675</v>
      </c>
      <c r="AD254" s="97">
        <v>1138</v>
      </c>
      <c r="AE254" s="97">
        <f t="shared" si="67"/>
        <v>18225</v>
      </c>
      <c r="AF254" s="97">
        <f t="shared" si="71"/>
        <v>30726</v>
      </c>
      <c r="AG254" s="97">
        <f t="shared" si="68"/>
        <v>12501</v>
      </c>
      <c r="AH254" s="97" t="str">
        <f t="shared" si="69"/>
        <v>profit</v>
      </c>
      <c r="AI254" s="100" t="b">
        <f t="shared" si="70"/>
        <v>0</v>
      </c>
    </row>
    <row r="255" spans="1:35" x14ac:dyDescent="0.3">
      <c r="A255" s="99">
        <v>45637</v>
      </c>
      <c r="B255" s="97" t="s">
        <v>283</v>
      </c>
      <c r="C255" s="19" t="s">
        <v>127</v>
      </c>
      <c r="D255" s="97" t="s">
        <v>186</v>
      </c>
      <c r="E255" s="97" t="s">
        <v>115</v>
      </c>
      <c r="F255" s="97" t="s">
        <v>123</v>
      </c>
      <c r="G255" s="97">
        <v>66</v>
      </c>
      <c r="H255" s="97">
        <v>888</v>
      </c>
      <c r="I255" s="97">
        <v>809</v>
      </c>
      <c r="J255" s="97">
        <f t="shared" si="62"/>
        <v>58608</v>
      </c>
      <c r="K255" s="97">
        <f t="shared" si="63"/>
        <v>53394</v>
      </c>
      <c r="L255" s="97">
        <f t="shared" si="64"/>
        <v>-5214</v>
      </c>
      <c r="M255" s="97" t="str">
        <f t="shared" si="65"/>
        <v>loss</v>
      </c>
      <c r="N255" s="100" t="b">
        <f t="shared" si="66"/>
        <v>0</v>
      </c>
      <c r="V255" s="99">
        <v>45421</v>
      </c>
      <c r="W255" s="97" t="s">
        <v>253</v>
      </c>
      <c r="X255" s="19" t="s">
        <v>139</v>
      </c>
      <c r="Y255" s="97" t="s">
        <v>205</v>
      </c>
      <c r="Z255" s="97" t="s">
        <v>120</v>
      </c>
      <c r="AA255" s="97" t="s">
        <v>112</v>
      </c>
      <c r="AB255" s="97">
        <v>22</v>
      </c>
      <c r="AC255" s="97">
        <v>695</v>
      </c>
      <c r="AD255" s="97">
        <v>830</v>
      </c>
      <c r="AE255" s="97">
        <f t="shared" si="67"/>
        <v>15290</v>
      </c>
      <c r="AF255" s="97">
        <f t="shared" si="71"/>
        <v>18260</v>
      </c>
      <c r="AG255" s="97">
        <f t="shared" si="68"/>
        <v>2970</v>
      </c>
      <c r="AH255" s="97" t="str">
        <f t="shared" si="69"/>
        <v>profit</v>
      </c>
      <c r="AI255" s="100" t="b">
        <f t="shared" si="70"/>
        <v>0</v>
      </c>
    </row>
    <row r="256" spans="1:35" x14ac:dyDescent="0.3">
      <c r="A256" s="99">
        <v>45523</v>
      </c>
      <c r="B256" s="97" t="s">
        <v>284</v>
      </c>
      <c r="C256" s="19" t="s">
        <v>139</v>
      </c>
      <c r="D256" s="97" t="s">
        <v>205</v>
      </c>
      <c r="E256" s="97" t="s">
        <v>133</v>
      </c>
      <c r="F256" s="97" t="s">
        <v>123</v>
      </c>
      <c r="G256" s="97">
        <v>28</v>
      </c>
      <c r="H256" s="97">
        <v>923</v>
      </c>
      <c r="I256" s="97">
        <v>1395</v>
      </c>
      <c r="J256" s="97">
        <f t="shared" si="62"/>
        <v>25844</v>
      </c>
      <c r="K256" s="97">
        <f t="shared" si="63"/>
        <v>39060</v>
      </c>
      <c r="L256" s="97">
        <f t="shared" si="64"/>
        <v>13216</v>
      </c>
      <c r="M256" s="97" t="str">
        <f t="shared" si="65"/>
        <v>profit</v>
      </c>
      <c r="N256" s="100" t="b">
        <f t="shared" si="66"/>
        <v>1</v>
      </c>
      <c r="V256" s="99">
        <v>45422</v>
      </c>
      <c r="W256" s="97" t="s">
        <v>254</v>
      </c>
      <c r="X256" s="19" t="s">
        <v>139</v>
      </c>
      <c r="Y256" s="97" t="s">
        <v>205</v>
      </c>
      <c r="Z256" s="97" t="s">
        <v>166</v>
      </c>
      <c r="AA256" s="97" t="s">
        <v>112</v>
      </c>
      <c r="AB256" s="97">
        <v>21</v>
      </c>
      <c r="AC256" s="97">
        <v>781</v>
      </c>
      <c r="AD256" s="97">
        <v>816</v>
      </c>
      <c r="AE256" s="97">
        <f t="shared" si="67"/>
        <v>16401</v>
      </c>
      <c r="AF256" s="97">
        <f t="shared" si="71"/>
        <v>17136</v>
      </c>
      <c r="AG256" s="97">
        <f t="shared" si="68"/>
        <v>735</v>
      </c>
      <c r="AH256" s="97" t="str">
        <f t="shared" si="69"/>
        <v>profit</v>
      </c>
      <c r="AI256" s="100" t="b">
        <f t="shared" si="70"/>
        <v>0</v>
      </c>
    </row>
    <row r="257" spans="1:35" x14ac:dyDescent="0.3">
      <c r="A257" s="99">
        <v>45524</v>
      </c>
      <c r="B257" s="97" t="s">
        <v>192</v>
      </c>
      <c r="C257" s="19" t="s">
        <v>139</v>
      </c>
      <c r="D257" s="97" t="s">
        <v>205</v>
      </c>
      <c r="E257" s="97" t="s">
        <v>133</v>
      </c>
      <c r="F257" s="97" t="s">
        <v>112</v>
      </c>
      <c r="G257" s="97">
        <v>26</v>
      </c>
      <c r="H257" s="97">
        <v>999</v>
      </c>
      <c r="I257" s="97">
        <v>1112</v>
      </c>
      <c r="J257" s="97">
        <f t="shared" ref="J257:J320" si="72">G257*H257</f>
        <v>25974</v>
      </c>
      <c r="K257" s="97">
        <f t="shared" ref="K257:K320" si="73">G257*I257</f>
        <v>28912</v>
      </c>
      <c r="L257" s="97">
        <f t="shared" ref="L257:L320" si="74">K257-J257</f>
        <v>2938</v>
      </c>
      <c r="M257" s="97" t="str">
        <f t="shared" si="65"/>
        <v>profit</v>
      </c>
      <c r="N257" s="100" t="b">
        <f t="shared" si="66"/>
        <v>1</v>
      </c>
      <c r="V257" s="99">
        <v>45423</v>
      </c>
      <c r="W257" s="97" t="s">
        <v>255</v>
      </c>
      <c r="X257" s="19" t="s">
        <v>139</v>
      </c>
      <c r="Y257" s="97" t="s">
        <v>205</v>
      </c>
      <c r="Z257" s="97" t="s">
        <v>161</v>
      </c>
      <c r="AA257" s="97" t="s">
        <v>112</v>
      </c>
      <c r="AB257" s="97">
        <v>25</v>
      </c>
      <c r="AC257" s="97">
        <v>517</v>
      </c>
      <c r="AD257" s="97">
        <v>939</v>
      </c>
      <c r="AE257" s="97">
        <f t="shared" si="67"/>
        <v>12925</v>
      </c>
      <c r="AF257" s="97">
        <f t="shared" si="71"/>
        <v>23475</v>
      </c>
      <c r="AG257" s="97">
        <f t="shared" si="68"/>
        <v>10550</v>
      </c>
      <c r="AH257" s="97" t="str">
        <f t="shared" si="69"/>
        <v>profit</v>
      </c>
      <c r="AI257" s="100" t="b">
        <f t="shared" si="70"/>
        <v>0</v>
      </c>
    </row>
    <row r="258" spans="1:35" x14ac:dyDescent="0.3">
      <c r="A258" s="99">
        <v>45525</v>
      </c>
      <c r="B258" s="97" t="s">
        <v>285</v>
      </c>
      <c r="C258" s="19" t="s">
        <v>139</v>
      </c>
      <c r="D258" s="97" t="s">
        <v>205</v>
      </c>
      <c r="E258" s="97" t="s">
        <v>155</v>
      </c>
      <c r="F258" s="97" t="s">
        <v>112</v>
      </c>
      <c r="G258" s="97">
        <v>30</v>
      </c>
      <c r="H258" s="97">
        <v>792</v>
      </c>
      <c r="I258" s="97">
        <v>1010</v>
      </c>
      <c r="J258" s="97">
        <f t="shared" si="72"/>
        <v>23760</v>
      </c>
      <c r="K258" s="97">
        <f t="shared" si="73"/>
        <v>30300</v>
      </c>
      <c r="L258" s="97">
        <f t="shared" si="74"/>
        <v>6540</v>
      </c>
      <c r="M258" s="97" t="str">
        <f t="shared" ref="M258:M321" si="75">IF(L258&gt;0,"profit","loss")</f>
        <v>profit</v>
      </c>
      <c r="N258" s="100" t="b">
        <f t="shared" ref="N258:N321" si="76">AND(L258&gt;0,J258&gt;20000)</f>
        <v>1</v>
      </c>
      <c r="V258" s="99">
        <v>45424</v>
      </c>
      <c r="W258" s="97" t="s">
        <v>256</v>
      </c>
      <c r="X258" s="19" t="s">
        <v>139</v>
      </c>
      <c r="Y258" s="97" t="s">
        <v>205</v>
      </c>
      <c r="Z258" s="97" t="s">
        <v>137</v>
      </c>
      <c r="AA258" s="97" t="s">
        <v>112</v>
      </c>
      <c r="AB258" s="97">
        <v>24</v>
      </c>
      <c r="AC258" s="97">
        <v>730</v>
      </c>
      <c r="AD258" s="97">
        <v>886</v>
      </c>
      <c r="AE258" s="97">
        <f t="shared" si="67"/>
        <v>17520</v>
      </c>
      <c r="AF258" s="97">
        <f t="shared" si="71"/>
        <v>21264</v>
      </c>
      <c r="AG258" s="97">
        <f t="shared" si="68"/>
        <v>3744</v>
      </c>
      <c r="AH258" s="97" t="str">
        <f t="shared" si="69"/>
        <v>profit</v>
      </c>
      <c r="AI258" s="100" t="b">
        <f t="shared" si="70"/>
        <v>0</v>
      </c>
    </row>
    <row r="259" spans="1:35" x14ac:dyDescent="0.3">
      <c r="A259" s="99">
        <v>45527</v>
      </c>
      <c r="B259" s="97" t="s">
        <v>286</v>
      </c>
      <c r="C259" s="19" t="s">
        <v>139</v>
      </c>
      <c r="D259" s="97" t="s">
        <v>205</v>
      </c>
      <c r="E259" s="97" t="s">
        <v>151</v>
      </c>
      <c r="F259" s="97" t="s">
        <v>112</v>
      </c>
      <c r="G259" s="97">
        <v>22</v>
      </c>
      <c r="H259" s="97">
        <v>774</v>
      </c>
      <c r="I259" s="97">
        <v>1387</v>
      </c>
      <c r="J259" s="97">
        <f t="shared" si="72"/>
        <v>17028</v>
      </c>
      <c r="K259" s="97">
        <f t="shared" si="73"/>
        <v>30514</v>
      </c>
      <c r="L259" s="97">
        <f t="shared" si="74"/>
        <v>13486</v>
      </c>
      <c r="M259" s="97" t="str">
        <f t="shared" si="75"/>
        <v>profit</v>
      </c>
      <c r="N259" s="100" t="b">
        <f t="shared" si="76"/>
        <v>0</v>
      </c>
      <c r="V259" s="99">
        <v>45425</v>
      </c>
      <c r="W259" s="97" t="s">
        <v>258</v>
      </c>
      <c r="X259" s="19" t="s">
        <v>139</v>
      </c>
      <c r="Y259" s="97" t="s">
        <v>205</v>
      </c>
      <c r="Z259" s="97" t="s">
        <v>120</v>
      </c>
      <c r="AA259" s="97" t="s">
        <v>112</v>
      </c>
      <c r="AB259" s="97">
        <v>23</v>
      </c>
      <c r="AC259" s="97">
        <v>811</v>
      </c>
      <c r="AD259" s="97">
        <v>1142</v>
      </c>
      <c r="AE259" s="97">
        <f t="shared" si="67"/>
        <v>18653</v>
      </c>
      <c r="AF259" s="97">
        <f t="shared" si="71"/>
        <v>26266</v>
      </c>
      <c r="AG259" s="97">
        <f t="shared" si="68"/>
        <v>7613</v>
      </c>
      <c r="AH259" s="97" t="str">
        <f t="shared" si="69"/>
        <v>profit</v>
      </c>
      <c r="AI259" s="100" t="b">
        <f t="shared" si="70"/>
        <v>0</v>
      </c>
    </row>
    <row r="260" spans="1:35" x14ac:dyDescent="0.3">
      <c r="A260" s="99">
        <v>45642</v>
      </c>
      <c r="B260" s="97" t="s">
        <v>287</v>
      </c>
      <c r="C260" s="19" t="s">
        <v>127</v>
      </c>
      <c r="D260" s="97" t="s">
        <v>186</v>
      </c>
      <c r="E260" s="97" t="s">
        <v>133</v>
      </c>
      <c r="F260" s="97" t="s">
        <v>112</v>
      </c>
      <c r="G260" s="97">
        <v>56</v>
      </c>
      <c r="H260" s="97">
        <v>516</v>
      </c>
      <c r="I260" s="97">
        <v>1316</v>
      </c>
      <c r="J260" s="97">
        <f t="shared" si="72"/>
        <v>28896</v>
      </c>
      <c r="K260" s="97">
        <f t="shared" si="73"/>
        <v>73696</v>
      </c>
      <c r="L260" s="97">
        <f t="shared" si="74"/>
        <v>44800</v>
      </c>
      <c r="M260" s="97" t="str">
        <f t="shared" si="75"/>
        <v>profit</v>
      </c>
      <c r="N260" s="100" t="b">
        <f t="shared" si="76"/>
        <v>1</v>
      </c>
      <c r="V260" s="99">
        <v>45426</v>
      </c>
      <c r="W260" s="97" t="s">
        <v>259</v>
      </c>
      <c r="X260" s="19" t="s">
        <v>139</v>
      </c>
      <c r="Y260" s="97" t="s">
        <v>205</v>
      </c>
      <c r="Z260" s="97" t="s">
        <v>155</v>
      </c>
      <c r="AA260" s="97" t="s">
        <v>112</v>
      </c>
      <c r="AB260" s="97">
        <v>21</v>
      </c>
      <c r="AC260" s="97">
        <v>967</v>
      </c>
      <c r="AD260" s="97">
        <v>888</v>
      </c>
      <c r="AE260" s="97">
        <f t="shared" si="67"/>
        <v>20307</v>
      </c>
      <c r="AF260" s="97">
        <f t="shared" si="71"/>
        <v>18648</v>
      </c>
      <c r="AG260" s="97">
        <f t="shared" si="68"/>
        <v>-1659</v>
      </c>
      <c r="AH260" s="97" t="str">
        <f t="shared" si="69"/>
        <v>loss</v>
      </c>
      <c r="AI260" s="100" t="b">
        <f t="shared" si="70"/>
        <v>0</v>
      </c>
    </row>
    <row r="261" spans="1:35" x14ac:dyDescent="0.3">
      <c r="A261" s="99">
        <v>45589</v>
      </c>
      <c r="B261" s="97" t="s">
        <v>288</v>
      </c>
      <c r="C261" s="19" t="s">
        <v>139</v>
      </c>
      <c r="D261" s="97" t="s">
        <v>220</v>
      </c>
      <c r="E261" s="97" t="s">
        <v>151</v>
      </c>
      <c r="F261" s="97" t="s">
        <v>112</v>
      </c>
      <c r="G261" s="97">
        <v>20</v>
      </c>
      <c r="H261" s="97">
        <v>999</v>
      </c>
      <c r="I261" s="97">
        <v>1191</v>
      </c>
      <c r="J261" s="97">
        <f t="shared" si="72"/>
        <v>19980</v>
      </c>
      <c r="K261" s="97">
        <f t="shared" si="73"/>
        <v>23820</v>
      </c>
      <c r="L261" s="97">
        <f t="shared" si="74"/>
        <v>3840</v>
      </c>
      <c r="M261" s="97" t="str">
        <f t="shared" si="75"/>
        <v>profit</v>
      </c>
      <c r="N261" s="100" t="b">
        <f t="shared" si="76"/>
        <v>0</v>
      </c>
      <c r="V261" s="99">
        <v>45427</v>
      </c>
      <c r="W261" s="97" t="s">
        <v>260</v>
      </c>
      <c r="X261" s="19" t="s">
        <v>139</v>
      </c>
      <c r="Y261" s="97" t="s">
        <v>205</v>
      </c>
      <c r="Z261" s="97" t="s">
        <v>166</v>
      </c>
      <c r="AA261" s="97" t="s">
        <v>112</v>
      </c>
      <c r="AB261" s="97">
        <v>29</v>
      </c>
      <c r="AC261" s="97">
        <v>655</v>
      </c>
      <c r="AD261" s="97">
        <v>950</v>
      </c>
      <c r="AE261" s="97">
        <f t="shared" si="67"/>
        <v>18995</v>
      </c>
      <c r="AF261" s="97">
        <f t="shared" si="71"/>
        <v>27550</v>
      </c>
      <c r="AG261" s="97">
        <f t="shared" si="68"/>
        <v>8555</v>
      </c>
      <c r="AH261" s="97" t="str">
        <f t="shared" si="69"/>
        <v>profit</v>
      </c>
      <c r="AI261" s="100" t="b">
        <f t="shared" si="70"/>
        <v>0</v>
      </c>
    </row>
    <row r="262" spans="1:35" x14ac:dyDescent="0.3">
      <c r="A262" s="99">
        <v>45591</v>
      </c>
      <c r="B262" s="97" t="s">
        <v>289</v>
      </c>
      <c r="C262" s="19" t="s">
        <v>139</v>
      </c>
      <c r="D262" s="97" t="s">
        <v>220</v>
      </c>
      <c r="E262" s="97" t="s">
        <v>125</v>
      </c>
      <c r="F262" s="97" t="s">
        <v>123</v>
      </c>
      <c r="G262" s="97">
        <v>29</v>
      </c>
      <c r="H262" s="97">
        <v>661</v>
      </c>
      <c r="I262" s="97">
        <v>1400</v>
      </c>
      <c r="J262" s="97">
        <f t="shared" si="72"/>
        <v>19169</v>
      </c>
      <c r="K262" s="97">
        <f t="shared" si="73"/>
        <v>40600</v>
      </c>
      <c r="L262" s="97">
        <f t="shared" si="74"/>
        <v>21431</v>
      </c>
      <c r="M262" s="97" t="str">
        <f t="shared" si="75"/>
        <v>profit</v>
      </c>
      <c r="N262" s="100" t="b">
        <f t="shared" si="76"/>
        <v>0</v>
      </c>
      <c r="V262" s="99">
        <v>45428</v>
      </c>
      <c r="W262" s="97" t="s">
        <v>262</v>
      </c>
      <c r="X262" s="19" t="s">
        <v>139</v>
      </c>
      <c r="Y262" s="97" t="s">
        <v>205</v>
      </c>
      <c r="Z262" s="97" t="s">
        <v>168</v>
      </c>
      <c r="AA262" s="97" t="s">
        <v>123</v>
      </c>
      <c r="AB262" s="97">
        <v>30</v>
      </c>
      <c r="AC262" s="97">
        <v>616</v>
      </c>
      <c r="AD262" s="97">
        <v>804</v>
      </c>
      <c r="AE262" s="97">
        <f t="shared" si="67"/>
        <v>18480</v>
      </c>
      <c r="AF262" s="97">
        <f t="shared" si="71"/>
        <v>24120</v>
      </c>
      <c r="AG262" s="97">
        <f t="shared" si="68"/>
        <v>5640</v>
      </c>
      <c r="AH262" s="97" t="str">
        <f t="shared" si="69"/>
        <v>profit</v>
      </c>
      <c r="AI262" s="100" t="b">
        <f t="shared" si="70"/>
        <v>0</v>
      </c>
    </row>
    <row r="263" spans="1:35" x14ac:dyDescent="0.3">
      <c r="A263" s="99">
        <v>45596</v>
      </c>
      <c r="B263" s="97" t="s">
        <v>290</v>
      </c>
      <c r="C263" s="19" t="s">
        <v>139</v>
      </c>
      <c r="D263" s="97" t="s">
        <v>140</v>
      </c>
      <c r="E263" s="97" t="s">
        <v>111</v>
      </c>
      <c r="F263" s="97" t="s">
        <v>123</v>
      </c>
      <c r="G263" s="97">
        <v>30</v>
      </c>
      <c r="H263" s="97">
        <v>539</v>
      </c>
      <c r="I263" s="97">
        <v>1364</v>
      </c>
      <c r="J263" s="97">
        <f t="shared" si="72"/>
        <v>16170</v>
      </c>
      <c r="K263" s="97" t="s">
        <v>340</v>
      </c>
      <c r="L263" s="97" t="e">
        <f t="shared" si="74"/>
        <v>#VALUE!</v>
      </c>
      <c r="M263" s="97" t="e">
        <f t="shared" si="75"/>
        <v>#VALUE!</v>
      </c>
      <c r="N263" s="100" t="e">
        <f t="shared" si="76"/>
        <v>#VALUE!</v>
      </c>
      <c r="V263" s="99">
        <v>45429</v>
      </c>
      <c r="W263" s="97" t="s">
        <v>264</v>
      </c>
      <c r="X263" s="19" t="s">
        <v>139</v>
      </c>
      <c r="Y263" s="97" t="s">
        <v>205</v>
      </c>
      <c r="Z263" s="97" t="s">
        <v>129</v>
      </c>
      <c r="AA263" s="97" t="s">
        <v>123</v>
      </c>
      <c r="AB263" s="97">
        <v>30</v>
      </c>
      <c r="AC263" s="97">
        <v>709</v>
      </c>
      <c r="AD263" s="97">
        <v>1209</v>
      </c>
      <c r="AE263" s="97">
        <f t="shared" si="67"/>
        <v>21270</v>
      </c>
      <c r="AF263" s="97">
        <f t="shared" si="71"/>
        <v>36270</v>
      </c>
      <c r="AG263" s="97">
        <f t="shared" si="68"/>
        <v>15000</v>
      </c>
      <c r="AH263" s="97" t="str">
        <f t="shared" si="69"/>
        <v>profit</v>
      </c>
      <c r="AI263" s="100" t="b">
        <f t="shared" si="70"/>
        <v>1</v>
      </c>
    </row>
    <row r="264" spans="1:35" x14ac:dyDescent="0.3">
      <c r="A264" s="99">
        <v>45646</v>
      </c>
      <c r="B264" s="97" t="s">
        <v>291</v>
      </c>
      <c r="C264" s="19" t="s">
        <v>127</v>
      </c>
      <c r="D264" s="97" t="s">
        <v>186</v>
      </c>
      <c r="E264" s="97" t="s">
        <v>133</v>
      </c>
      <c r="F264" s="97" t="s">
        <v>112</v>
      </c>
      <c r="G264" s="97">
        <v>60</v>
      </c>
      <c r="H264" s="97">
        <v>901</v>
      </c>
      <c r="I264" s="97">
        <v>1148</v>
      </c>
      <c r="J264" s="97">
        <f t="shared" si="72"/>
        <v>54060</v>
      </c>
      <c r="K264" s="97">
        <f t="shared" si="73"/>
        <v>68880</v>
      </c>
      <c r="L264" s="97">
        <f t="shared" si="74"/>
        <v>14820</v>
      </c>
      <c r="M264" s="97" t="str">
        <f t="shared" si="75"/>
        <v>profit</v>
      </c>
      <c r="N264" s="100" t="b">
        <f t="shared" si="76"/>
        <v>1</v>
      </c>
      <c r="V264" s="99">
        <v>45430</v>
      </c>
      <c r="W264" s="97" t="s">
        <v>265</v>
      </c>
      <c r="X264" s="19" t="s">
        <v>139</v>
      </c>
      <c r="Y264" s="97" t="s">
        <v>205</v>
      </c>
      <c r="Z264" s="97" t="s">
        <v>137</v>
      </c>
      <c r="AA264" s="97" t="s">
        <v>123</v>
      </c>
      <c r="AB264" s="97">
        <v>23</v>
      </c>
      <c r="AC264" s="97">
        <v>875</v>
      </c>
      <c r="AD264" s="97">
        <v>843</v>
      </c>
      <c r="AE264" s="97">
        <f t="shared" si="67"/>
        <v>20125</v>
      </c>
      <c r="AF264" s="97">
        <f t="shared" si="71"/>
        <v>19389</v>
      </c>
      <c r="AG264" s="97">
        <f t="shared" si="68"/>
        <v>-736</v>
      </c>
      <c r="AH264" s="97" t="str">
        <f t="shared" si="69"/>
        <v>loss</v>
      </c>
      <c r="AI264" s="100" t="b">
        <f t="shared" si="70"/>
        <v>0</v>
      </c>
    </row>
    <row r="265" spans="1:35" x14ac:dyDescent="0.3">
      <c r="A265" s="99">
        <v>45597</v>
      </c>
      <c r="B265" s="97" t="s">
        <v>292</v>
      </c>
      <c r="C265" s="19" t="s">
        <v>139</v>
      </c>
      <c r="D265" s="97" t="s">
        <v>140</v>
      </c>
      <c r="E265" s="97" t="s">
        <v>115</v>
      </c>
      <c r="F265" s="97" t="s">
        <v>123</v>
      </c>
      <c r="G265" s="97">
        <v>26</v>
      </c>
      <c r="H265" s="97">
        <v>726</v>
      </c>
      <c r="I265" s="97">
        <v>1335</v>
      </c>
      <c r="J265" s="97">
        <f t="shared" si="72"/>
        <v>18876</v>
      </c>
      <c r="K265" s="97">
        <f t="shared" si="73"/>
        <v>34710</v>
      </c>
      <c r="L265" s="97">
        <f t="shared" si="74"/>
        <v>15834</v>
      </c>
      <c r="M265" s="97" t="str">
        <f t="shared" si="75"/>
        <v>profit</v>
      </c>
      <c r="N265" s="100" t="b">
        <f t="shared" si="76"/>
        <v>0</v>
      </c>
      <c r="V265" s="99">
        <v>45484</v>
      </c>
      <c r="W265" s="97" t="s">
        <v>266</v>
      </c>
      <c r="X265" s="19" t="s">
        <v>139</v>
      </c>
      <c r="Y265" s="97" t="s">
        <v>205</v>
      </c>
      <c r="Z265" s="97" t="s">
        <v>133</v>
      </c>
      <c r="AA265" s="97" t="s">
        <v>123</v>
      </c>
      <c r="AB265" s="97">
        <v>26</v>
      </c>
      <c r="AC265" s="97">
        <v>766</v>
      </c>
      <c r="AD265" s="97">
        <v>836</v>
      </c>
      <c r="AE265" s="97">
        <f t="shared" ref="AE265:AE314" si="77">AB265*AC265</f>
        <v>19916</v>
      </c>
      <c r="AF265" s="97">
        <f t="shared" si="71"/>
        <v>21736</v>
      </c>
      <c r="AG265" s="97">
        <f t="shared" ref="AG265:AG314" si="78">AF265-AE265</f>
        <v>1820</v>
      </c>
      <c r="AH265" s="97" t="str">
        <f t="shared" si="69"/>
        <v>profit</v>
      </c>
      <c r="AI265" s="100" t="b">
        <f t="shared" si="70"/>
        <v>0</v>
      </c>
    </row>
    <row r="266" spans="1:35" x14ac:dyDescent="0.3">
      <c r="A266" s="99">
        <v>45648</v>
      </c>
      <c r="B266" s="97" t="s">
        <v>293</v>
      </c>
      <c r="C266" s="19" t="s">
        <v>127</v>
      </c>
      <c r="D266" s="97" t="s">
        <v>207</v>
      </c>
      <c r="E266" s="97" t="s">
        <v>200</v>
      </c>
      <c r="F266" s="97" t="s">
        <v>112</v>
      </c>
      <c r="G266" s="97">
        <v>50</v>
      </c>
      <c r="H266" s="97">
        <v>749</v>
      </c>
      <c r="I266" s="97">
        <v>1269</v>
      </c>
      <c r="J266" s="97">
        <f t="shared" si="72"/>
        <v>37450</v>
      </c>
      <c r="K266" s="97">
        <f t="shared" si="73"/>
        <v>63450</v>
      </c>
      <c r="L266" s="97">
        <f t="shared" si="74"/>
        <v>26000</v>
      </c>
      <c r="M266" s="97" t="str">
        <f t="shared" si="75"/>
        <v>profit</v>
      </c>
      <c r="N266" s="100" t="b">
        <f t="shared" si="76"/>
        <v>1</v>
      </c>
      <c r="V266" s="99">
        <v>45485</v>
      </c>
      <c r="W266" s="97" t="s">
        <v>267</v>
      </c>
      <c r="X266" s="19" t="s">
        <v>139</v>
      </c>
      <c r="Y266" s="97" t="s">
        <v>205</v>
      </c>
      <c r="Z266" s="97" t="s">
        <v>155</v>
      </c>
      <c r="AA266" s="97" t="s">
        <v>123</v>
      </c>
      <c r="AB266" s="97">
        <v>23</v>
      </c>
      <c r="AC266" s="97">
        <v>589</v>
      </c>
      <c r="AD266" s="97">
        <v>982</v>
      </c>
      <c r="AE266" s="97">
        <f t="shared" si="77"/>
        <v>13547</v>
      </c>
      <c r="AF266" s="97">
        <f t="shared" si="71"/>
        <v>22586</v>
      </c>
      <c r="AG266" s="97">
        <f t="shared" si="78"/>
        <v>9039</v>
      </c>
      <c r="AH266" s="97" t="str">
        <f t="shared" ref="AH266:AH314" si="79">IF(AG266&gt;0,"profit","loss")</f>
        <v>profit</v>
      </c>
      <c r="AI266" s="100" t="b">
        <f t="shared" ref="AI266:AI314" si="80">AND(AG266&gt;0,AE266&gt;20000)</f>
        <v>0</v>
      </c>
    </row>
    <row r="267" spans="1:35" x14ac:dyDescent="0.3">
      <c r="A267" s="99">
        <v>45598</v>
      </c>
      <c r="B267" s="97" t="s">
        <v>294</v>
      </c>
      <c r="C267" s="19" t="s">
        <v>139</v>
      </c>
      <c r="D267" s="97" t="s">
        <v>140</v>
      </c>
      <c r="E267" s="97" t="s">
        <v>118</v>
      </c>
      <c r="F267" s="97" t="s">
        <v>123</v>
      </c>
      <c r="G267" s="97">
        <v>29</v>
      </c>
      <c r="H267" s="97">
        <v>510</v>
      </c>
      <c r="I267" s="97">
        <v>1131</v>
      </c>
      <c r="J267" s="97">
        <f t="shared" si="72"/>
        <v>14790</v>
      </c>
      <c r="K267" s="97">
        <f t="shared" si="73"/>
        <v>32799</v>
      </c>
      <c r="L267" s="97">
        <f t="shared" si="74"/>
        <v>18009</v>
      </c>
      <c r="M267" s="97" t="str">
        <f t="shared" si="75"/>
        <v>profit</v>
      </c>
      <c r="N267" s="100" t="b">
        <f t="shared" si="76"/>
        <v>0</v>
      </c>
      <c r="V267" s="99">
        <v>45486</v>
      </c>
      <c r="W267" s="97" t="s">
        <v>268</v>
      </c>
      <c r="X267" s="19" t="s">
        <v>139</v>
      </c>
      <c r="Y267" s="97" t="s">
        <v>205</v>
      </c>
      <c r="Z267" s="97" t="s">
        <v>155</v>
      </c>
      <c r="AA267" s="97" t="s">
        <v>123</v>
      </c>
      <c r="AB267" s="97">
        <v>24</v>
      </c>
      <c r="AC267" s="97">
        <v>718</v>
      </c>
      <c r="AD267" s="97">
        <v>1218</v>
      </c>
      <c r="AE267" s="97">
        <f t="shared" si="77"/>
        <v>17232</v>
      </c>
      <c r="AF267" s="97">
        <f t="shared" si="71"/>
        <v>29232</v>
      </c>
      <c r="AG267" s="97">
        <f t="shared" si="78"/>
        <v>12000</v>
      </c>
      <c r="AH267" s="97" t="str">
        <f t="shared" si="79"/>
        <v>profit</v>
      </c>
      <c r="AI267" s="100" t="b">
        <f t="shared" si="80"/>
        <v>0</v>
      </c>
    </row>
    <row r="268" spans="1:35" x14ac:dyDescent="0.3">
      <c r="A268" s="99">
        <v>45599</v>
      </c>
      <c r="B268" s="97" t="s">
        <v>295</v>
      </c>
      <c r="C268" s="19" t="s">
        <v>139</v>
      </c>
      <c r="D268" s="97" t="s">
        <v>140</v>
      </c>
      <c r="E268" s="97" t="s">
        <v>120</v>
      </c>
      <c r="F268" s="97" t="s">
        <v>112</v>
      </c>
      <c r="G268" s="97">
        <v>27</v>
      </c>
      <c r="H268" s="97">
        <v>752</v>
      </c>
      <c r="I268" s="97">
        <v>1258</v>
      </c>
      <c r="J268" s="97">
        <f t="shared" si="72"/>
        <v>20304</v>
      </c>
      <c r="K268" s="97">
        <f t="shared" si="73"/>
        <v>33966</v>
      </c>
      <c r="L268" s="97">
        <f t="shared" si="74"/>
        <v>13662</v>
      </c>
      <c r="M268" s="97" t="str">
        <f t="shared" si="75"/>
        <v>profit</v>
      </c>
      <c r="N268" s="100" t="b">
        <f t="shared" si="76"/>
        <v>1</v>
      </c>
      <c r="V268" s="99">
        <v>45487</v>
      </c>
      <c r="W268" s="97" t="s">
        <v>269</v>
      </c>
      <c r="X268" s="19" t="s">
        <v>139</v>
      </c>
      <c r="Y268" s="97" t="s">
        <v>205</v>
      </c>
      <c r="Z268" s="97" t="s">
        <v>151</v>
      </c>
      <c r="AA268" s="97" t="s">
        <v>123</v>
      </c>
      <c r="AB268" s="97">
        <v>22</v>
      </c>
      <c r="AC268" s="97">
        <v>877</v>
      </c>
      <c r="AD268" s="97">
        <v>1120</v>
      </c>
      <c r="AE268" s="97">
        <f t="shared" si="77"/>
        <v>19294</v>
      </c>
      <c r="AF268" s="97">
        <f t="shared" si="71"/>
        <v>24640</v>
      </c>
      <c r="AG268" s="97">
        <f t="shared" si="78"/>
        <v>5346</v>
      </c>
      <c r="AH268" s="97" t="str">
        <f t="shared" si="79"/>
        <v>profit</v>
      </c>
      <c r="AI268" s="100" t="b">
        <f t="shared" si="80"/>
        <v>0</v>
      </c>
    </row>
    <row r="269" spans="1:35" x14ac:dyDescent="0.3">
      <c r="A269" s="99">
        <v>45600</v>
      </c>
      <c r="B269" s="97" t="s">
        <v>296</v>
      </c>
      <c r="C269" s="19" t="s">
        <v>139</v>
      </c>
      <c r="D269" s="97" t="s">
        <v>140</v>
      </c>
      <c r="E269" s="97" t="s">
        <v>120</v>
      </c>
      <c r="F269" s="97" t="s">
        <v>112</v>
      </c>
      <c r="G269" s="97">
        <v>28</v>
      </c>
      <c r="H269" s="97">
        <v>924</v>
      </c>
      <c r="I269" s="97">
        <v>847</v>
      </c>
      <c r="J269" s="97">
        <f t="shared" si="72"/>
        <v>25872</v>
      </c>
      <c r="K269" s="97">
        <f t="shared" si="73"/>
        <v>23716</v>
      </c>
      <c r="L269" s="97">
        <f t="shared" si="74"/>
        <v>-2156</v>
      </c>
      <c r="M269" s="97" t="str">
        <f t="shared" si="75"/>
        <v>loss</v>
      </c>
      <c r="N269" s="100" t="b">
        <f t="shared" si="76"/>
        <v>0</v>
      </c>
      <c r="V269" s="99">
        <v>45489</v>
      </c>
      <c r="W269" s="97" t="s">
        <v>270</v>
      </c>
      <c r="X269" s="19" t="s">
        <v>139</v>
      </c>
      <c r="Y269" s="97" t="s">
        <v>205</v>
      </c>
      <c r="Z269" s="97" t="s">
        <v>125</v>
      </c>
      <c r="AA269" s="97" t="s">
        <v>112</v>
      </c>
      <c r="AB269" s="97">
        <v>23</v>
      </c>
      <c r="AC269" s="97">
        <v>641</v>
      </c>
      <c r="AD269" s="97">
        <v>1445</v>
      </c>
      <c r="AE269" s="97">
        <f t="shared" si="77"/>
        <v>14743</v>
      </c>
      <c r="AF269" s="97">
        <f t="shared" si="71"/>
        <v>33235</v>
      </c>
      <c r="AG269" s="97">
        <f t="shared" si="78"/>
        <v>18492</v>
      </c>
      <c r="AH269" s="97" t="str">
        <f t="shared" si="79"/>
        <v>profit</v>
      </c>
      <c r="AI269" s="100" t="b">
        <f t="shared" si="80"/>
        <v>0</v>
      </c>
    </row>
    <row r="270" spans="1:35" x14ac:dyDescent="0.3">
      <c r="A270" s="99">
        <v>45601</v>
      </c>
      <c r="B270" s="97" t="s">
        <v>297</v>
      </c>
      <c r="C270" s="19" t="s">
        <v>139</v>
      </c>
      <c r="D270" s="97" t="s">
        <v>140</v>
      </c>
      <c r="E270" s="97" t="s">
        <v>122</v>
      </c>
      <c r="F270" s="97" t="s">
        <v>112</v>
      </c>
      <c r="G270" s="97">
        <v>26</v>
      </c>
      <c r="H270" s="97">
        <v>643</v>
      </c>
      <c r="I270" s="97">
        <v>1341</v>
      </c>
      <c r="J270" s="97">
        <f t="shared" si="72"/>
        <v>16718</v>
      </c>
      <c r="K270" s="97">
        <f t="shared" si="73"/>
        <v>34866</v>
      </c>
      <c r="L270" s="97">
        <f t="shared" si="74"/>
        <v>18148</v>
      </c>
      <c r="M270" s="97" t="str">
        <f t="shared" si="75"/>
        <v>profit</v>
      </c>
      <c r="N270" s="100" t="b">
        <f t="shared" si="76"/>
        <v>0</v>
      </c>
      <c r="V270" s="99">
        <v>45490</v>
      </c>
      <c r="W270" s="97" t="s">
        <v>271</v>
      </c>
      <c r="X270" s="19" t="s">
        <v>139</v>
      </c>
      <c r="Y270" s="97" t="s">
        <v>205</v>
      </c>
      <c r="Z270" s="97" t="s">
        <v>200</v>
      </c>
      <c r="AA270" s="97" t="s">
        <v>112</v>
      </c>
      <c r="AB270" s="97">
        <v>30</v>
      </c>
      <c r="AC270" s="97">
        <v>916</v>
      </c>
      <c r="AD270" s="97">
        <v>1497</v>
      </c>
      <c r="AE270" s="97">
        <f t="shared" si="77"/>
        <v>27480</v>
      </c>
      <c r="AF270" s="97">
        <f t="shared" si="71"/>
        <v>44910</v>
      </c>
      <c r="AG270" s="97">
        <f t="shared" si="78"/>
        <v>17430</v>
      </c>
      <c r="AH270" s="97" t="str">
        <f t="shared" si="79"/>
        <v>profit</v>
      </c>
      <c r="AI270" s="100" t="b">
        <f t="shared" si="80"/>
        <v>1</v>
      </c>
    </row>
    <row r="271" spans="1:35" x14ac:dyDescent="0.3">
      <c r="A271" s="99">
        <v>45653</v>
      </c>
      <c r="B271" s="97" t="s">
        <v>298</v>
      </c>
      <c r="C271" s="19" t="s">
        <v>127</v>
      </c>
      <c r="D271" s="97" t="s">
        <v>207</v>
      </c>
      <c r="E271" s="97" t="s">
        <v>115</v>
      </c>
      <c r="F271" s="97" t="s">
        <v>123</v>
      </c>
      <c r="G271" s="97">
        <v>59</v>
      </c>
      <c r="H271" s="97">
        <v>774</v>
      </c>
      <c r="I271" s="97">
        <v>1374</v>
      </c>
      <c r="J271" s="97">
        <f t="shared" si="72"/>
        <v>45666</v>
      </c>
      <c r="K271" s="97">
        <f t="shared" si="73"/>
        <v>81066</v>
      </c>
      <c r="L271" s="97">
        <f t="shared" si="74"/>
        <v>35400</v>
      </c>
      <c r="M271" s="97" t="str">
        <f t="shared" si="75"/>
        <v>profit</v>
      </c>
      <c r="N271" s="100" t="b">
        <f t="shared" si="76"/>
        <v>1</v>
      </c>
      <c r="V271" s="99">
        <v>45491</v>
      </c>
      <c r="W271" s="97" t="s">
        <v>272</v>
      </c>
      <c r="X271" s="19" t="s">
        <v>139</v>
      </c>
      <c r="Y271" s="97" t="s">
        <v>205</v>
      </c>
      <c r="Z271" s="97" t="s">
        <v>137</v>
      </c>
      <c r="AA271" s="97" t="s">
        <v>112</v>
      </c>
      <c r="AB271" s="97">
        <v>28</v>
      </c>
      <c r="AC271" s="97">
        <v>588</v>
      </c>
      <c r="AD271" s="97">
        <v>784</v>
      </c>
      <c r="AE271" s="97">
        <f t="shared" si="77"/>
        <v>16464</v>
      </c>
      <c r="AF271" s="97">
        <f t="shared" si="71"/>
        <v>21952</v>
      </c>
      <c r="AG271" s="97">
        <f t="shared" si="78"/>
        <v>5488</v>
      </c>
      <c r="AH271" s="97" t="str">
        <f t="shared" si="79"/>
        <v>profit</v>
      </c>
      <c r="AI271" s="100" t="b">
        <f t="shared" si="80"/>
        <v>0</v>
      </c>
    </row>
    <row r="272" spans="1:35" x14ac:dyDescent="0.3">
      <c r="A272" s="99">
        <v>45609</v>
      </c>
      <c r="B272" s="97" t="s">
        <v>299</v>
      </c>
      <c r="C272" s="19" t="s">
        <v>139</v>
      </c>
      <c r="D272" s="97" t="s">
        <v>154</v>
      </c>
      <c r="E272" s="97" t="s">
        <v>166</v>
      </c>
      <c r="F272" s="97" t="s">
        <v>123</v>
      </c>
      <c r="G272" s="97">
        <v>23</v>
      </c>
      <c r="H272" s="97">
        <v>584</v>
      </c>
      <c r="I272" s="97">
        <v>1140</v>
      </c>
      <c r="J272" s="97">
        <f t="shared" si="72"/>
        <v>13432</v>
      </c>
      <c r="K272" s="97">
        <f t="shared" si="73"/>
        <v>26220</v>
      </c>
      <c r="L272" s="97">
        <f t="shared" si="74"/>
        <v>12788</v>
      </c>
      <c r="M272" s="97" t="str">
        <f t="shared" si="75"/>
        <v>profit</v>
      </c>
      <c r="N272" s="100" t="b">
        <f t="shared" si="76"/>
        <v>0</v>
      </c>
      <c r="V272" s="99">
        <v>45507</v>
      </c>
      <c r="W272" s="97" t="s">
        <v>206</v>
      </c>
      <c r="X272" s="19" t="s">
        <v>127</v>
      </c>
      <c r="Y272" s="97" t="s">
        <v>207</v>
      </c>
      <c r="Z272" s="97" t="s">
        <v>166</v>
      </c>
      <c r="AA272" s="97" t="s">
        <v>123</v>
      </c>
      <c r="AB272" s="97">
        <v>60</v>
      </c>
      <c r="AC272" s="97">
        <v>642</v>
      </c>
      <c r="AD272" s="97">
        <v>1497</v>
      </c>
      <c r="AE272" s="97">
        <f t="shared" si="77"/>
        <v>38520</v>
      </c>
      <c r="AF272" s="97">
        <f t="shared" si="71"/>
        <v>89820</v>
      </c>
      <c r="AG272" s="97">
        <f t="shared" si="78"/>
        <v>51300</v>
      </c>
      <c r="AH272" s="97" t="str">
        <f t="shared" si="79"/>
        <v>profit</v>
      </c>
      <c r="AI272" s="100" t="b">
        <f t="shared" si="80"/>
        <v>1</v>
      </c>
    </row>
    <row r="273" spans="1:35" x14ac:dyDescent="0.3">
      <c r="A273" s="99">
        <v>45611</v>
      </c>
      <c r="B273" s="97" t="s">
        <v>300</v>
      </c>
      <c r="C273" s="19" t="s">
        <v>139</v>
      </c>
      <c r="D273" s="97" t="s">
        <v>154</v>
      </c>
      <c r="E273" s="97" t="s">
        <v>129</v>
      </c>
      <c r="F273" s="97" t="s">
        <v>123</v>
      </c>
      <c r="G273" s="97">
        <v>21</v>
      </c>
      <c r="H273" s="97">
        <v>608</v>
      </c>
      <c r="I273" s="97">
        <v>983</v>
      </c>
      <c r="J273" s="97">
        <f t="shared" si="72"/>
        <v>12768</v>
      </c>
      <c r="K273" s="97">
        <f t="shared" si="73"/>
        <v>20643</v>
      </c>
      <c r="L273" s="97">
        <f t="shared" si="74"/>
        <v>7875</v>
      </c>
      <c r="M273" s="97" t="str">
        <f t="shared" si="75"/>
        <v>profit</v>
      </c>
      <c r="N273" s="100" t="b">
        <f t="shared" si="76"/>
        <v>0</v>
      </c>
      <c r="V273" s="99">
        <v>45492</v>
      </c>
      <c r="W273" s="97" t="s">
        <v>274</v>
      </c>
      <c r="X273" s="19" t="s">
        <v>139</v>
      </c>
      <c r="Y273" s="97" t="s">
        <v>205</v>
      </c>
      <c r="Z273" s="97" t="s">
        <v>240</v>
      </c>
      <c r="AA273" s="97" t="s">
        <v>112</v>
      </c>
      <c r="AB273" s="97">
        <v>26</v>
      </c>
      <c r="AC273" s="97">
        <v>969</v>
      </c>
      <c r="AD273" s="97">
        <v>1087</v>
      </c>
      <c r="AE273" s="97">
        <f t="shared" si="77"/>
        <v>25194</v>
      </c>
      <c r="AF273" s="97">
        <f t="shared" si="71"/>
        <v>28262</v>
      </c>
      <c r="AG273" s="97">
        <f t="shared" si="78"/>
        <v>3068</v>
      </c>
      <c r="AH273" s="97" t="str">
        <f t="shared" si="79"/>
        <v>profit</v>
      </c>
      <c r="AI273" s="100" t="b">
        <f t="shared" si="80"/>
        <v>1</v>
      </c>
    </row>
    <row r="274" spans="1:35" x14ac:dyDescent="0.3">
      <c r="A274" s="99">
        <v>45612</v>
      </c>
      <c r="B274" s="97" t="s">
        <v>301</v>
      </c>
      <c r="C274" s="19" t="s">
        <v>139</v>
      </c>
      <c r="D274" s="97" t="s">
        <v>154</v>
      </c>
      <c r="E274" s="97" t="s">
        <v>137</v>
      </c>
      <c r="F274" s="97" t="s">
        <v>123</v>
      </c>
      <c r="G274" s="97">
        <v>30</v>
      </c>
      <c r="H274" s="97">
        <v>712</v>
      </c>
      <c r="I274" s="97">
        <v>1311</v>
      </c>
      <c r="J274" s="97">
        <f t="shared" si="72"/>
        <v>21360</v>
      </c>
      <c r="K274" s="97">
        <f t="shared" si="73"/>
        <v>39330</v>
      </c>
      <c r="L274" s="97">
        <f t="shared" si="74"/>
        <v>17970</v>
      </c>
      <c r="M274" s="97" t="str">
        <f t="shared" si="75"/>
        <v>profit</v>
      </c>
      <c r="N274" s="100" t="b">
        <f t="shared" si="76"/>
        <v>1</v>
      </c>
      <c r="V274" s="99">
        <v>45493</v>
      </c>
      <c r="W274" s="97" t="s">
        <v>275</v>
      </c>
      <c r="X274" s="19" t="s">
        <v>139</v>
      </c>
      <c r="Y274" s="97" t="s">
        <v>205</v>
      </c>
      <c r="Z274" s="97" t="s">
        <v>242</v>
      </c>
      <c r="AA274" s="97" t="s">
        <v>112</v>
      </c>
      <c r="AB274" s="97">
        <v>25</v>
      </c>
      <c r="AC274" s="97">
        <v>839</v>
      </c>
      <c r="AD274" s="97">
        <v>1233</v>
      </c>
      <c r="AE274" s="97">
        <f t="shared" si="77"/>
        <v>20975</v>
      </c>
      <c r="AF274" s="97">
        <f t="shared" si="71"/>
        <v>30825</v>
      </c>
      <c r="AG274" s="97">
        <f t="shared" si="78"/>
        <v>9850</v>
      </c>
      <c r="AH274" s="97" t="str">
        <f t="shared" si="79"/>
        <v>profit</v>
      </c>
      <c r="AI274" s="100" t="b">
        <f t="shared" si="80"/>
        <v>1</v>
      </c>
    </row>
    <row r="275" spans="1:35" x14ac:dyDescent="0.3">
      <c r="A275" s="99">
        <v>45613</v>
      </c>
      <c r="B275" s="97" t="s">
        <v>302</v>
      </c>
      <c r="C275" s="19" t="s">
        <v>139</v>
      </c>
      <c r="D275" s="97" t="s">
        <v>154</v>
      </c>
      <c r="E275" s="97" t="s">
        <v>151</v>
      </c>
      <c r="F275" s="97" t="s">
        <v>123</v>
      </c>
      <c r="G275" s="97">
        <v>24</v>
      </c>
      <c r="H275" s="97">
        <v>672</v>
      </c>
      <c r="I275" s="97">
        <v>878</v>
      </c>
      <c r="J275" s="97">
        <f t="shared" si="72"/>
        <v>16128</v>
      </c>
      <c r="K275" s="97">
        <f t="shared" si="73"/>
        <v>21072</v>
      </c>
      <c r="L275" s="97">
        <f t="shared" si="74"/>
        <v>4944</v>
      </c>
      <c r="M275" s="97" t="str">
        <f t="shared" si="75"/>
        <v>profit</v>
      </c>
      <c r="N275" s="100" t="b">
        <f t="shared" si="76"/>
        <v>0</v>
      </c>
      <c r="V275" s="99">
        <v>45494</v>
      </c>
      <c r="W275" s="97" t="s">
        <v>277</v>
      </c>
      <c r="X275" s="19" t="s">
        <v>139</v>
      </c>
      <c r="Y275" s="97" t="s">
        <v>205</v>
      </c>
      <c r="Z275" s="97" t="s">
        <v>111</v>
      </c>
      <c r="AA275" s="97" t="s">
        <v>112</v>
      </c>
      <c r="AB275" s="97">
        <v>25</v>
      </c>
      <c r="AC275" s="97">
        <v>536</v>
      </c>
      <c r="AD275" s="97">
        <v>1407</v>
      </c>
      <c r="AE275" s="97">
        <f t="shared" si="77"/>
        <v>13400</v>
      </c>
      <c r="AF275" s="97">
        <f t="shared" si="71"/>
        <v>35175</v>
      </c>
      <c r="AG275" s="97">
        <f t="shared" si="78"/>
        <v>21775</v>
      </c>
      <c r="AH275" s="97" t="str">
        <f t="shared" si="79"/>
        <v>profit</v>
      </c>
      <c r="AI275" s="100" t="b">
        <f t="shared" si="80"/>
        <v>0</v>
      </c>
    </row>
    <row r="276" spans="1:35" x14ac:dyDescent="0.3">
      <c r="A276" s="99">
        <v>45615</v>
      </c>
      <c r="B276" s="97" t="s">
        <v>303</v>
      </c>
      <c r="C276" s="19" t="s">
        <v>139</v>
      </c>
      <c r="D276" s="97" t="s">
        <v>154</v>
      </c>
      <c r="E276" s="97" t="s">
        <v>133</v>
      </c>
      <c r="F276" s="97" t="s">
        <v>112</v>
      </c>
      <c r="G276" s="97">
        <v>29</v>
      </c>
      <c r="H276" s="97">
        <v>520</v>
      </c>
      <c r="I276" s="97">
        <v>770</v>
      </c>
      <c r="J276" s="97">
        <f t="shared" si="72"/>
        <v>15080</v>
      </c>
      <c r="K276" s="97" t="s">
        <v>340</v>
      </c>
      <c r="L276" s="97" t="e">
        <f t="shared" si="74"/>
        <v>#VALUE!</v>
      </c>
      <c r="M276" s="97" t="e">
        <f t="shared" si="75"/>
        <v>#VALUE!</v>
      </c>
      <c r="N276" s="100" t="e">
        <f t="shared" si="76"/>
        <v>#VALUE!</v>
      </c>
      <c r="V276" s="99">
        <v>45517</v>
      </c>
      <c r="W276" s="97" t="s">
        <v>278</v>
      </c>
      <c r="X276" s="19" t="s">
        <v>139</v>
      </c>
      <c r="Y276" s="97" t="s">
        <v>205</v>
      </c>
      <c r="Z276" s="97" t="s">
        <v>137</v>
      </c>
      <c r="AA276" s="97" t="s">
        <v>123</v>
      </c>
      <c r="AB276" s="97">
        <v>27</v>
      </c>
      <c r="AC276" s="97">
        <v>966</v>
      </c>
      <c r="AD276" s="97">
        <v>1255</v>
      </c>
      <c r="AE276" s="97">
        <f t="shared" si="77"/>
        <v>26082</v>
      </c>
      <c r="AF276" s="97">
        <f t="shared" si="71"/>
        <v>33885</v>
      </c>
      <c r="AG276" s="97">
        <f t="shared" si="78"/>
        <v>7803</v>
      </c>
      <c r="AH276" s="97" t="str">
        <f t="shared" si="79"/>
        <v>profit</v>
      </c>
      <c r="AI276" s="100" t="b">
        <f t="shared" si="80"/>
        <v>1</v>
      </c>
    </row>
    <row r="277" spans="1:35" x14ac:dyDescent="0.3">
      <c r="A277" s="99">
        <v>45617</v>
      </c>
      <c r="B277" s="97" t="s">
        <v>304</v>
      </c>
      <c r="C277" s="19" t="s">
        <v>139</v>
      </c>
      <c r="D277" s="97" t="s">
        <v>154</v>
      </c>
      <c r="E277" s="97" t="s">
        <v>137</v>
      </c>
      <c r="F277" s="97" t="s">
        <v>123</v>
      </c>
      <c r="G277" s="97">
        <v>28</v>
      </c>
      <c r="H277" s="97">
        <v>884</v>
      </c>
      <c r="I277" s="97">
        <v>1165</v>
      </c>
      <c r="J277" s="97">
        <f t="shared" si="72"/>
        <v>24752</v>
      </c>
      <c r="K277" s="97">
        <f t="shared" si="73"/>
        <v>32620</v>
      </c>
      <c r="L277" s="97">
        <f t="shared" si="74"/>
        <v>7868</v>
      </c>
      <c r="M277" s="97" t="str">
        <f t="shared" si="75"/>
        <v>profit</v>
      </c>
      <c r="N277" s="100" t="b">
        <f t="shared" si="76"/>
        <v>1</v>
      </c>
      <c r="V277" s="99">
        <v>45512</v>
      </c>
      <c r="W277" s="97" t="s">
        <v>208</v>
      </c>
      <c r="X277" s="19" t="s">
        <v>109</v>
      </c>
      <c r="Y277" s="97" t="s">
        <v>131</v>
      </c>
      <c r="Z277" s="97" t="s">
        <v>129</v>
      </c>
      <c r="AA277" s="97" t="s">
        <v>112</v>
      </c>
      <c r="AB277" s="97">
        <v>20</v>
      </c>
      <c r="AC277" s="97">
        <v>525</v>
      </c>
      <c r="AD277" s="97">
        <v>1122</v>
      </c>
      <c r="AE277" s="97">
        <f t="shared" si="77"/>
        <v>10500</v>
      </c>
      <c r="AF277" s="97">
        <f t="shared" si="71"/>
        <v>22440</v>
      </c>
      <c r="AG277" s="97">
        <f t="shared" si="78"/>
        <v>11940</v>
      </c>
      <c r="AH277" s="97" t="str">
        <f t="shared" si="79"/>
        <v>profit</v>
      </c>
      <c r="AI277" s="100" t="b">
        <f t="shared" si="80"/>
        <v>0</v>
      </c>
    </row>
    <row r="278" spans="1:35" x14ac:dyDescent="0.3">
      <c r="A278" s="99">
        <v>45660</v>
      </c>
      <c r="B278" s="97" t="s">
        <v>305</v>
      </c>
      <c r="C278" s="19" t="s">
        <v>109</v>
      </c>
      <c r="D278" s="97" t="s">
        <v>110</v>
      </c>
      <c r="E278" s="97" t="s">
        <v>166</v>
      </c>
      <c r="F278" s="97" t="s">
        <v>112</v>
      </c>
      <c r="G278" s="97">
        <v>11</v>
      </c>
      <c r="H278" s="97">
        <v>562</v>
      </c>
      <c r="I278" s="97">
        <v>800</v>
      </c>
      <c r="J278" s="97">
        <f t="shared" si="72"/>
        <v>6182</v>
      </c>
      <c r="K278" s="97">
        <f t="shared" si="73"/>
        <v>8800</v>
      </c>
      <c r="L278" s="97">
        <f t="shared" si="74"/>
        <v>2618</v>
      </c>
      <c r="M278" s="97" t="str">
        <f t="shared" si="75"/>
        <v>profit</v>
      </c>
      <c r="N278" s="100" t="b">
        <f t="shared" si="76"/>
        <v>0</v>
      </c>
      <c r="V278" s="99">
        <v>45518</v>
      </c>
      <c r="W278" s="97" t="s">
        <v>279</v>
      </c>
      <c r="X278" s="19" t="s">
        <v>139</v>
      </c>
      <c r="Y278" s="97" t="s">
        <v>205</v>
      </c>
      <c r="Z278" s="97" t="s">
        <v>142</v>
      </c>
      <c r="AA278" s="97" t="s">
        <v>123</v>
      </c>
      <c r="AB278" s="97">
        <v>23</v>
      </c>
      <c r="AC278" s="97">
        <v>694</v>
      </c>
      <c r="AD278" s="97">
        <v>1309</v>
      </c>
      <c r="AE278" s="97">
        <f t="shared" si="77"/>
        <v>15962</v>
      </c>
      <c r="AF278" s="97">
        <f t="shared" ref="AF278:AF314" si="81">AB278*AD278</f>
        <v>30107</v>
      </c>
      <c r="AG278" s="97">
        <f t="shared" si="78"/>
        <v>14145</v>
      </c>
      <c r="AH278" s="97" t="str">
        <f t="shared" si="79"/>
        <v>profit</v>
      </c>
      <c r="AI278" s="100" t="b">
        <f t="shared" si="80"/>
        <v>0</v>
      </c>
    </row>
    <row r="279" spans="1:35" x14ac:dyDescent="0.3">
      <c r="A279" s="99">
        <v>45618</v>
      </c>
      <c r="B279" s="97" t="s">
        <v>306</v>
      </c>
      <c r="C279" s="19" t="s">
        <v>139</v>
      </c>
      <c r="D279" s="97" t="s">
        <v>154</v>
      </c>
      <c r="E279" s="97" t="s">
        <v>122</v>
      </c>
      <c r="F279" s="97" t="s">
        <v>123</v>
      </c>
      <c r="G279" s="97">
        <v>25</v>
      </c>
      <c r="H279" s="97">
        <v>990</v>
      </c>
      <c r="I279" s="97">
        <v>868</v>
      </c>
      <c r="J279" s="97">
        <f t="shared" si="72"/>
        <v>24750</v>
      </c>
      <c r="K279" s="97">
        <f t="shared" si="73"/>
        <v>21700</v>
      </c>
      <c r="L279" s="97">
        <f t="shared" si="74"/>
        <v>-3050</v>
      </c>
      <c r="M279" s="97" t="str">
        <f t="shared" si="75"/>
        <v>loss</v>
      </c>
      <c r="N279" s="100" t="b">
        <f t="shared" si="76"/>
        <v>0</v>
      </c>
      <c r="V279" s="99">
        <v>45519</v>
      </c>
      <c r="W279" s="97" t="s">
        <v>280</v>
      </c>
      <c r="X279" s="19" t="s">
        <v>139</v>
      </c>
      <c r="Y279" s="97" t="s">
        <v>205</v>
      </c>
      <c r="Z279" s="97" t="s">
        <v>122</v>
      </c>
      <c r="AA279" s="97" t="s">
        <v>112</v>
      </c>
      <c r="AB279" s="97">
        <v>22</v>
      </c>
      <c r="AC279" s="97">
        <v>749</v>
      </c>
      <c r="AD279" s="97">
        <v>850</v>
      </c>
      <c r="AE279" s="97">
        <f t="shared" si="77"/>
        <v>16478</v>
      </c>
      <c r="AF279" s="97">
        <f t="shared" si="81"/>
        <v>18700</v>
      </c>
      <c r="AG279" s="97">
        <f t="shared" si="78"/>
        <v>2222</v>
      </c>
      <c r="AH279" s="97" t="str">
        <f t="shared" si="79"/>
        <v>profit</v>
      </c>
      <c r="AI279" s="100" t="b">
        <f t="shared" si="80"/>
        <v>0</v>
      </c>
    </row>
    <row r="280" spans="1:35" x14ac:dyDescent="0.3">
      <c r="A280" s="99">
        <v>45662</v>
      </c>
      <c r="B280" s="97" t="s">
        <v>307</v>
      </c>
      <c r="C280" s="19" t="s">
        <v>109</v>
      </c>
      <c r="D280" s="97" t="s">
        <v>110</v>
      </c>
      <c r="E280" s="97" t="s">
        <v>137</v>
      </c>
      <c r="F280" s="97" t="s">
        <v>112</v>
      </c>
      <c r="G280" s="97">
        <v>15</v>
      </c>
      <c r="H280" s="97">
        <v>992</v>
      </c>
      <c r="I280" s="97">
        <v>1404</v>
      </c>
      <c r="J280" s="97">
        <f t="shared" si="72"/>
        <v>14880</v>
      </c>
      <c r="K280" s="97">
        <f t="shared" si="73"/>
        <v>21060</v>
      </c>
      <c r="L280" s="97">
        <f t="shared" si="74"/>
        <v>6180</v>
      </c>
      <c r="M280" s="97" t="str">
        <f t="shared" si="75"/>
        <v>profit</v>
      </c>
      <c r="N280" s="100" t="b">
        <f t="shared" si="76"/>
        <v>0</v>
      </c>
      <c r="V280" s="99">
        <v>45521</v>
      </c>
      <c r="W280" s="97" t="s">
        <v>282</v>
      </c>
      <c r="X280" s="19" t="s">
        <v>139</v>
      </c>
      <c r="Y280" s="97" t="s">
        <v>205</v>
      </c>
      <c r="Z280" s="97" t="s">
        <v>146</v>
      </c>
      <c r="AA280" s="97" t="s">
        <v>123</v>
      </c>
      <c r="AB280" s="97">
        <v>24</v>
      </c>
      <c r="AC280" s="97">
        <v>845</v>
      </c>
      <c r="AD280" s="97">
        <v>1429</v>
      </c>
      <c r="AE280" s="97">
        <f t="shared" si="77"/>
        <v>20280</v>
      </c>
      <c r="AF280" s="97">
        <f t="shared" si="81"/>
        <v>34296</v>
      </c>
      <c r="AG280" s="97">
        <f t="shared" si="78"/>
        <v>14016</v>
      </c>
      <c r="AH280" s="97" t="str">
        <f t="shared" si="79"/>
        <v>profit</v>
      </c>
      <c r="AI280" s="100" t="b">
        <f t="shared" si="80"/>
        <v>1</v>
      </c>
    </row>
    <row r="281" spans="1:35" x14ac:dyDescent="0.3">
      <c r="A281" s="99">
        <v>45619</v>
      </c>
      <c r="B281" s="97" t="s">
        <v>308</v>
      </c>
      <c r="C281" s="19" t="s">
        <v>139</v>
      </c>
      <c r="D281" s="97" t="s">
        <v>154</v>
      </c>
      <c r="E281" s="97" t="s">
        <v>137</v>
      </c>
      <c r="F281" s="97" t="s">
        <v>123</v>
      </c>
      <c r="G281" s="97">
        <v>22</v>
      </c>
      <c r="H281" s="97">
        <v>524</v>
      </c>
      <c r="I281" s="97">
        <v>1156</v>
      </c>
      <c r="J281" s="97">
        <f t="shared" si="72"/>
        <v>11528</v>
      </c>
      <c r="K281" s="97">
        <f t="shared" si="73"/>
        <v>25432</v>
      </c>
      <c r="L281" s="97">
        <f t="shared" si="74"/>
        <v>13904</v>
      </c>
      <c r="M281" s="97" t="str">
        <f t="shared" si="75"/>
        <v>profit</v>
      </c>
      <c r="N281" s="100" t="b">
        <f t="shared" si="76"/>
        <v>0</v>
      </c>
      <c r="V281" s="99">
        <v>45522</v>
      </c>
      <c r="W281" s="97" t="s">
        <v>194</v>
      </c>
      <c r="X281" s="19" t="s">
        <v>139</v>
      </c>
      <c r="Y281" s="97" t="s">
        <v>205</v>
      </c>
      <c r="Z281" s="97" t="s">
        <v>129</v>
      </c>
      <c r="AA281" s="97" t="s">
        <v>123</v>
      </c>
      <c r="AB281" s="97">
        <v>29</v>
      </c>
      <c r="AC281" s="97">
        <v>872</v>
      </c>
      <c r="AD281" s="97">
        <v>1351</v>
      </c>
      <c r="AE281" s="97">
        <f t="shared" si="77"/>
        <v>25288</v>
      </c>
      <c r="AF281" s="97">
        <f t="shared" si="81"/>
        <v>39179</v>
      </c>
      <c r="AG281" s="97">
        <f t="shared" si="78"/>
        <v>13891</v>
      </c>
      <c r="AH281" s="97" t="str">
        <f t="shared" si="79"/>
        <v>profit</v>
      </c>
      <c r="AI281" s="100" t="b">
        <f t="shared" si="80"/>
        <v>1</v>
      </c>
    </row>
    <row r="282" spans="1:35" x14ac:dyDescent="0.3">
      <c r="A282" s="99">
        <v>45664</v>
      </c>
      <c r="B282" s="97" t="s">
        <v>309</v>
      </c>
      <c r="C282" s="19" t="s">
        <v>109</v>
      </c>
      <c r="D282" s="97" t="s">
        <v>110</v>
      </c>
      <c r="E282" s="97" t="s">
        <v>118</v>
      </c>
      <c r="F282" s="97" t="s">
        <v>112</v>
      </c>
      <c r="G282" s="97">
        <v>11</v>
      </c>
      <c r="H282" s="97">
        <v>668</v>
      </c>
      <c r="I282" s="97">
        <v>1096</v>
      </c>
      <c r="J282" s="97">
        <f t="shared" si="72"/>
        <v>7348</v>
      </c>
      <c r="K282" s="97">
        <f t="shared" si="73"/>
        <v>12056</v>
      </c>
      <c r="L282" s="97">
        <f t="shared" si="74"/>
        <v>4708</v>
      </c>
      <c r="M282" s="97" t="str">
        <f t="shared" si="75"/>
        <v>profit</v>
      </c>
      <c r="N282" s="100" t="b">
        <f t="shared" si="76"/>
        <v>0</v>
      </c>
      <c r="V282" s="99">
        <v>45523</v>
      </c>
      <c r="W282" s="97" t="s">
        <v>284</v>
      </c>
      <c r="X282" s="19" t="s">
        <v>139</v>
      </c>
      <c r="Y282" s="97" t="s">
        <v>205</v>
      </c>
      <c r="Z282" s="97" t="s">
        <v>133</v>
      </c>
      <c r="AA282" s="97" t="s">
        <v>123</v>
      </c>
      <c r="AB282" s="97">
        <v>27</v>
      </c>
      <c r="AC282" s="97">
        <v>674</v>
      </c>
      <c r="AD282" s="97">
        <v>1119</v>
      </c>
      <c r="AE282" s="97">
        <f t="shared" si="77"/>
        <v>18198</v>
      </c>
      <c r="AF282" s="97">
        <f t="shared" si="81"/>
        <v>30213</v>
      </c>
      <c r="AG282" s="97">
        <f t="shared" si="78"/>
        <v>12015</v>
      </c>
      <c r="AH282" s="97" t="str">
        <f t="shared" si="79"/>
        <v>profit</v>
      </c>
      <c r="AI282" s="100" t="b">
        <f t="shared" si="80"/>
        <v>0</v>
      </c>
    </row>
    <row r="283" spans="1:35" x14ac:dyDescent="0.3">
      <c r="A283" s="99">
        <v>45620</v>
      </c>
      <c r="B283" s="97" t="s">
        <v>310</v>
      </c>
      <c r="C283" s="19" t="s">
        <v>139</v>
      </c>
      <c r="D283" s="97" t="s">
        <v>154</v>
      </c>
      <c r="E283" s="97" t="s">
        <v>142</v>
      </c>
      <c r="F283" s="97" t="s">
        <v>123</v>
      </c>
      <c r="G283" s="97">
        <v>26</v>
      </c>
      <c r="H283" s="97">
        <v>997</v>
      </c>
      <c r="I283" s="97">
        <v>982</v>
      </c>
      <c r="J283" s="97">
        <f t="shared" si="72"/>
        <v>25922</v>
      </c>
      <c r="K283" s="97">
        <f t="shared" si="73"/>
        <v>25532</v>
      </c>
      <c r="L283" s="97">
        <f t="shared" si="74"/>
        <v>-390</v>
      </c>
      <c r="M283" s="97" t="str">
        <f t="shared" si="75"/>
        <v>loss</v>
      </c>
      <c r="N283" s="100" t="b">
        <f t="shared" si="76"/>
        <v>0</v>
      </c>
      <c r="V283" s="99">
        <v>45525</v>
      </c>
      <c r="W283" s="97" t="s">
        <v>285</v>
      </c>
      <c r="X283" s="19" t="s">
        <v>139</v>
      </c>
      <c r="Y283" s="97" t="s">
        <v>205</v>
      </c>
      <c r="Z283" s="97" t="s">
        <v>155</v>
      </c>
      <c r="AA283" s="97" t="s">
        <v>112</v>
      </c>
      <c r="AB283" s="97">
        <v>21</v>
      </c>
      <c r="AC283" s="97">
        <v>929</v>
      </c>
      <c r="AD283" s="97">
        <v>910</v>
      </c>
      <c r="AE283" s="97">
        <f t="shared" si="77"/>
        <v>19509</v>
      </c>
      <c r="AF283" s="97">
        <f t="shared" si="81"/>
        <v>19110</v>
      </c>
      <c r="AG283" s="97">
        <f t="shared" si="78"/>
        <v>-399</v>
      </c>
      <c r="AH283" s="97" t="str">
        <f t="shared" si="79"/>
        <v>loss</v>
      </c>
      <c r="AI283" s="100" t="b">
        <f t="shared" si="80"/>
        <v>0</v>
      </c>
    </row>
    <row r="284" spans="1:35" x14ac:dyDescent="0.3">
      <c r="A284" s="99">
        <v>45621</v>
      </c>
      <c r="B284" s="97" t="s">
        <v>311</v>
      </c>
      <c r="C284" s="19" t="s">
        <v>139</v>
      </c>
      <c r="D284" s="97" t="s">
        <v>154</v>
      </c>
      <c r="E284" s="97" t="s">
        <v>122</v>
      </c>
      <c r="F284" s="97" t="s">
        <v>123</v>
      </c>
      <c r="G284" s="97">
        <v>27</v>
      </c>
      <c r="H284" s="97">
        <v>922</v>
      </c>
      <c r="I284" s="97">
        <v>1284</v>
      </c>
      <c r="J284" s="97">
        <f t="shared" si="72"/>
        <v>24894</v>
      </c>
      <c r="K284" s="97">
        <f t="shared" si="73"/>
        <v>34668</v>
      </c>
      <c r="L284" s="97">
        <f t="shared" si="74"/>
        <v>9774</v>
      </c>
      <c r="M284" s="97" t="str">
        <f t="shared" si="75"/>
        <v>profit</v>
      </c>
      <c r="N284" s="100" t="b">
        <f t="shared" si="76"/>
        <v>1</v>
      </c>
      <c r="V284" s="99">
        <v>45520</v>
      </c>
      <c r="W284" s="97" t="s">
        <v>209</v>
      </c>
      <c r="X284" s="19" t="s">
        <v>139</v>
      </c>
      <c r="Y284" s="97" t="s">
        <v>205</v>
      </c>
      <c r="Z284" s="97" t="s">
        <v>145</v>
      </c>
      <c r="AA284" s="97" t="s">
        <v>123</v>
      </c>
      <c r="AB284" s="97">
        <v>23</v>
      </c>
      <c r="AC284" s="97">
        <v>884</v>
      </c>
      <c r="AD284" s="97">
        <v>1392</v>
      </c>
      <c r="AE284" s="97">
        <f t="shared" si="77"/>
        <v>20332</v>
      </c>
      <c r="AF284" s="97">
        <f t="shared" si="81"/>
        <v>32016</v>
      </c>
      <c r="AG284" s="97">
        <f t="shared" si="78"/>
        <v>11684</v>
      </c>
      <c r="AH284" s="97" t="str">
        <f t="shared" si="79"/>
        <v>profit</v>
      </c>
      <c r="AI284" s="100" t="b">
        <f t="shared" si="80"/>
        <v>1</v>
      </c>
    </row>
    <row r="285" spans="1:35" x14ac:dyDescent="0.3">
      <c r="A285" s="99">
        <v>45622</v>
      </c>
      <c r="B285" s="97" t="s">
        <v>312</v>
      </c>
      <c r="C285" s="19" t="s">
        <v>139</v>
      </c>
      <c r="D285" s="97" t="s">
        <v>154</v>
      </c>
      <c r="E285" s="97" t="s">
        <v>145</v>
      </c>
      <c r="F285" s="97" t="s">
        <v>112</v>
      </c>
      <c r="G285" s="97">
        <v>21</v>
      </c>
      <c r="H285" s="97">
        <v>978</v>
      </c>
      <c r="I285" s="97">
        <v>1139</v>
      </c>
      <c r="J285" s="97">
        <f t="shared" si="72"/>
        <v>20538</v>
      </c>
      <c r="K285" s="97">
        <f t="shared" si="73"/>
        <v>23919</v>
      </c>
      <c r="L285" s="97">
        <f t="shared" si="74"/>
        <v>3381</v>
      </c>
      <c r="M285" s="97" t="str">
        <f t="shared" si="75"/>
        <v>profit</v>
      </c>
      <c r="N285" s="100" t="b">
        <f t="shared" si="76"/>
        <v>1</v>
      </c>
      <c r="V285" s="99">
        <v>45527</v>
      </c>
      <c r="W285" s="97" t="s">
        <v>286</v>
      </c>
      <c r="X285" s="19" t="s">
        <v>139</v>
      </c>
      <c r="Y285" s="97" t="s">
        <v>205</v>
      </c>
      <c r="Z285" s="97" t="s">
        <v>151</v>
      </c>
      <c r="AA285" s="97" t="s">
        <v>112</v>
      </c>
      <c r="AB285" s="97">
        <v>28</v>
      </c>
      <c r="AC285" s="97">
        <v>873</v>
      </c>
      <c r="AD285" s="97">
        <v>809</v>
      </c>
      <c r="AE285" s="97">
        <f t="shared" si="77"/>
        <v>24444</v>
      </c>
      <c r="AF285" s="97">
        <f t="shared" si="81"/>
        <v>22652</v>
      </c>
      <c r="AG285" s="97">
        <f t="shared" si="78"/>
        <v>-1792</v>
      </c>
      <c r="AH285" s="97" t="str">
        <f t="shared" si="79"/>
        <v>loss</v>
      </c>
      <c r="AI285" s="100" t="b">
        <f t="shared" si="80"/>
        <v>0</v>
      </c>
    </row>
    <row r="286" spans="1:35" x14ac:dyDescent="0.3">
      <c r="A286" s="99">
        <v>45623</v>
      </c>
      <c r="B286" s="97" t="s">
        <v>313</v>
      </c>
      <c r="C286" s="19" t="s">
        <v>139</v>
      </c>
      <c r="D286" s="97" t="s">
        <v>154</v>
      </c>
      <c r="E286" s="97" t="s">
        <v>146</v>
      </c>
      <c r="F286" s="97" t="s">
        <v>112</v>
      </c>
      <c r="G286" s="97">
        <v>24</v>
      </c>
      <c r="H286" s="97">
        <v>830</v>
      </c>
      <c r="I286" s="97">
        <v>1355</v>
      </c>
      <c r="J286" s="97">
        <f t="shared" si="72"/>
        <v>19920</v>
      </c>
      <c r="K286" s="97">
        <f t="shared" si="73"/>
        <v>32520</v>
      </c>
      <c r="L286" s="97">
        <f t="shared" si="74"/>
        <v>12600</v>
      </c>
      <c r="M286" s="97" t="str">
        <f t="shared" si="75"/>
        <v>profit</v>
      </c>
      <c r="N286" s="100" t="b">
        <f t="shared" si="76"/>
        <v>0</v>
      </c>
      <c r="V286" s="99">
        <v>45589</v>
      </c>
      <c r="W286" s="97" t="s">
        <v>288</v>
      </c>
      <c r="X286" s="19" t="s">
        <v>139</v>
      </c>
      <c r="Y286" s="97" t="s">
        <v>220</v>
      </c>
      <c r="Z286" s="97" t="s">
        <v>151</v>
      </c>
      <c r="AA286" s="97" t="s">
        <v>112</v>
      </c>
      <c r="AB286" s="97">
        <v>21</v>
      </c>
      <c r="AC286" s="97">
        <v>541</v>
      </c>
      <c r="AD286" s="97">
        <v>1339</v>
      </c>
      <c r="AE286" s="97">
        <f t="shared" si="77"/>
        <v>11361</v>
      </c>
      <c r="AF286" s="97">
        <f t="shared" si="81"/>
        <v>28119</v>
      </c>
      <c r="AG286" s="97">
        <f t="shared" si="78"/>
        <v>16758</v>
      </c>
      <c r="AH286" s="97" t="str">
        <f t="shared" si="79"/>
        <v>profit</v>
      </c>
      <c r="AI286" s="100" t="b">
        <f t="shared" si="80"/>
        <v>0</v>
      </c>
    </row>
    <row r="287" spans="1:35" x14ac:dyDescent="0.3">
      <c r="A287" s="99">
        <v>45624</v>
      </c>
      <c r="B287" s="97" t="s">
        <v>314</v>
      </c>
      <c r="C287" s="19" t="s">
        <v>139</v>
      </c>
      <c r="D287" s="97" t="s">
        <v>205</v>
      </c>
      <c r="E287" s="97" t="s">
        <v>129</v>
      </c>
      <c r="F287" s="97" t="s">
        <v>112</v>
      </c>
      <c r="G287" s="97">
        <v>21</v>
      </c>
      <c r="H287" s="97">
        <v>751</v>
      </c>
      <c r="I287" s="97">
        <v>1498</v>
      </c>
      <c r="J287" s="97">
        <f t="shared" si="72"/>
        <v>15771</v>
      </c>
      <c r="K287" s="97">
        <f t="shared" si="73"/>
        <v>31458</v>
      </c>
      <c r="L287" s="97">
        <f t="shared" si="74"/>
        <v>15687</v>
      </c>
      <c r="M287" s="97" t="str">
        <f t="shared" si="75"/>
        <v>profit</v>
      </c>
      <c r="N287" s="100" t="b">
        <f t="shared" si="76"/>
        <v>0</v>
      </c>
      <c r="V287" s="99">
        <v>45591</v>
      </c>
      <c r="W287" s="97" t="s">
        <v>289</v>
      </c>
      <c r="X287" s="19" t="s">
        <v>139</v>
      </c>
      <c r="Y287" s="97" t="s">
        <v>220</v>
      </c>
      <c r="Z287" s="97" t="s">
        <v>125</v>
      </c>
      <c r="AA287" s="97" t="s">
        <v>123</v>
      </c>
      <c r="AB287" s="97">
        <v>22</v>
      </c>
      <c r="AC287" s="97">
        <v>725</v>
      </c>
      <c r="AD287" s="97">
        <v>1268</v>
      </c>
      <c r="AE287" s="97">
        <f t="shared" si="77"/>
        <v>15950</v>
      </c>
      <c r="AF287" s="97">
        <f t="shared" si="81"/>
        <v>27896</v>
      </c>
      <c r="AG287" s="97">
        <f t="shared" si="78"/>
        <v>11946</v>
      </c>
      <c r="AH287" s="97" t="str">
        <f t="shared" si="79"/>
        <v>profit</v>
      </c>
      <c r="AI287" s="100" t="b">
        <f t="shared" si="80"/>
        <v>0</v>
      </c>
    </row>
    <row r="288" spans="1:35" x14ac:dyDescent="0.3">
      <c r="A288" s="99">
        <v>45625</v>
      </c>
      <c r="B288" s="97" t="s">
        <v>315</v>
      </c>
      <c r="C288" s="19" t="s">
        <v>139</v>
      </c>
      <c r="D288" s="97" t="s">
        <v>205</v>
      </c>
      <c r="E288" s="97" t="s">
        <v>133</v>
      </c>
      <c r="F288" s="97" t="s">
        <v>112</v>
      </c>
      <c r="G288" s="97">
        <v>26</v>
      </c>
      <c r="H288" s="97">
        <v>520</v>
      </c>
      <c r="I288" s="97">
        <v>1261</v>
      </c>
      <c r="J288" s="97">
        <f t="shared" si="72"/>
        <v>13520</v>
      </c>
      <c r="K288" s="97">
        <f t="shared" si="73"/>
        <v>32786</v>
      </c>
      <c r="L288" s="97">
        <f t="shared" si="74"/>
        <v>19266</v>
      </c>
      <c r="M288" s="97" t="str">
        <f t="shared" si="75"/>
        <v>profit</v>
      </c>
      <c r="N288" s="100" t="b">
        <f t="shared" si="76"/>
        <v>0</v>
      </c>
      <c r="V288" s="99">
        <v>45596</v>
      </c>
      <c r="W288" s="97" t="s">
        <v>290</v>
      </c>
      <c r="X288" s="19" t="s">
        <v>139</v>
      </c>
      <c r="Y288" s="97" t="s">
        <v>140</v>
      </c>
      <c r="Z288" s="97" t="s">
        <v>111</v>
      </c>
      <c r="AA288" s="97" t="s">
        <v>123</v>
      </c>
      <c r="AB288" s="97">
        <v>21</v>
      </c>
      <c r="AC288" s="97">
        <v>596</v>
      </c>
      <c r="AD288" s="97">
        <v>838</v>
      </c>
      <c r="AE288" s="97">
        <f t="shared" si="77"/>
        <v>12516</v>
      </c>
      <c r="AF288" s="97">
        <f t="shared" si="81"/>
        <v>17598</v>
      </c>
      <c r="AG288" s="97">
        <f t="shared" si="78"/>
        <v>5082</v>
      </c>
      <c r="AH288" s="97" t="str">
        <f t="shared" si="79"/>
        <v>profit</v>
      </c>
      <c r="AI288" s="100" t="b">
        <f t="shared" si="80"/>
        <v>0</v>
      </c>
    </row>
    <row r="289" spans="1:35" x14ac:dyDescent="0.3">
      <c r="A289" s="99">
        <v>45671</v>
      </c>
      <c r="B289" s="97" t="s">
        <v>316</v>
      </c>
      <c r="C289" s="19" t="s">
        <v>127</v>
      </c>
      <c r="D289" s="97" t="s">
        <v>207</v>
      </c>
      <c r="E289" s="97" t="s">
        <v>151</v>
      </c>
      <c r="F289" s="97" t="s">
        <v>123</v>
      </c>
      <c r="G289" s="97">
        <v>56</v>
      </c>
      <c r="H289" s="97">
        <v>685</v>
      </c>
      <c r="I289" s="97">
        <v>771</v>
      </c>
      <c r="J289" s="97">
        <f t="shared" si="72"/>
        <v>38360</v>
      </c>
      <c r="K289" s="97">
        <f t="shared" si="73"/>
        <v>43176</v>
      </c>
      <c r="L289" s="97">
        <f t="shared" si="74"/>
        <v>4816</v>
      </c>
      <c r="M289" s="97" t="str">
        <f t="shared" si="75"/>
        <v>profit</v>
      </c>
      <c r="N289" s="100" t="b">
        <f t="shared" si="76"/>
        <v>1</v>
      </c>
      <c r="V289" s="99">
        <v>45597</v>
      </c>
      <c r="W289" s="97" t="s">
        <v>292</v>
      </c>
      <c r="X289" s="19" t="s">
        <v>139</v>
      </c>
      <c r="Y289" s="97" t="s">
        <v>140</v>
      </c>
      <c r="Z289" s="97" t="s">
        <v>115</v>
      </c>
      <c r="AA289" s="97" t="s">
        <v>123</v>
      </c>
      <c r="AB289" s="97">
        <v>30</v>
      </c>
      <c r="AC289" s="97">
        <v>910</v>
      </c>
      <c r="AD289" s="97">
        <v>1290</v>
      </c>
      <c r="AE289" s="97">
        <f t="shared" si="77"/>
        <v>27300</v>
      </c>
      <c r="AF289" s="97">
        <f t="shared" si="81"/>
        <v>38700</v>
      </c>
      <c r="AG289" s="97">
        <f t="shared" si="78"/>
        <v>11400</v>
      </c>
      <c r="AH289" s="97" t="str">
        <f t="shared" si="79"/>
        <v>profit</v>
      </c>
      <c r="AI289" s="100" t="b">
        <f t="shared" si="80"/>
        <v>1</v>
      </c>
    </row>
    <row r="290" spans="1:35" x14ac:dyDescent="0.3">
      <c r="A290" s="99">
        <v>45627</v>
      </c>
      <c r="B290" s="97" t="s">
        <v>317</v>
      </c>
      <c r="C290" s="19" t="s">
        <v>139</v>
      </c>
      <c r="D290" s="97" t="s">
        <v>205</v>
      </c>
      <c r="E290" s="97" t="s">
        <v>155</v>
      </c>
      <c r="F290" s="97" t="s">
        <v>112</v>
      </c>
      <c r="G290" s="97">
        <v>21</v>
      </c>
      <c r="H290" s="97">
        <v>605</v>
      </c>
      <c r="I290" s="97">
        <v>1264</v>
      </c>
      <c r="J290" s="97">
        <f t="shared" si="72"/>
        <v>12705</v>
      </c>
      <c r="K290" s="97">
        <f t="shared" si="73"/>
        <v>26544</v>
      </c>
      <c r="L290" s="97">
        <f t="shared" si="74"/>
        <v>13839</v>
      </c>
      <c r="M290" s="97" t="str">
        <f t="shared" si="75"/>
        <v>profit</v>
      </c>
      <c r="N290" s="100" t="b">
        <f t="shared" si="76"/>
        <v>0</v>
      </c>
      <c r="V290" s="99">
        <v>45526</v>
      </c>
      <c r="W290" s="97" t="s">
        <v>210</v>
      </c>
      <c r="X290" s="19" t="s">
        <v>139</v>
      </c>
      <c r="Y290" s="97" t="s">
        <v>205</v>
      </c>
      <c r="Z290" s="97" t="s">
        <v>155</v>
      </c>
      <c r="AA290" s="97" t="s">
        <v>112</v>
      </c>
      <c r="AB290" s="97">
        <v>20</v>
      </c>
      <c r="AC290" s="97">
        <v>997</v>
      </c>
      <c r="AD290" s="97">
        <v>784</v>
      </c>
      <c r="AE290" s="97">
        <f t="shared" si="77"/>
        <v>19940</v>
      </c>
      <c r="AF290" s="97">
        <f t="shared" si="81"/>
        <v>15680</v>
      </c>
      <c r="AG290" s="97">
        <f t="shared" si="78"/>
        <v>-4260</v>
      </c>
      <c r="AH290" s="97" t="str">
        <f t="shared" si="79"/>
        <v>loss</v>
      </c>
      <c r="AI290" s="100" t="b">
        <f t="shared" si="80"/>
        <v>0</v>
      </c>
    </row>
    <row r="291" spans="1:35" x14ac:dyDescent="0.3">
      <c r="A291" s="99">
        <v>45628</v>
      </c>
      <c r="B291" s="97" t="s">
        <v>318</v>
      </c>
      <c r="C291" s="19" t="s">
        <v>139</v>
      </c>
      <c r="D291" s="97" t="s">
        <v>205</v>
      </c>
      <c r="E291" s="97" t="s">
        <v>155</v>
      </c>
      <c r="F291" s="97" t="s">
        <v>112</v>
      </c>
      <c r="G291" s="97">
        <v>20</v>
      </c>
      <c r="H291" s="97">
        <v>666</v>
      </c>
      <c r="I291" s="97">
        <v>1087</v>
      </c>
      <c r="J291" s="97">
        <f t="shared" si="72"/>
        <v>13320</v>
      </c>
      <c r="K291" s="97">
        <f t="shared" si="73"/>
        <v>21740</v>
      </c>
      <c r="L291" s="97">
        <f t="shared" si="74"/>
        <v>8420</v>
      </c>
      <c r="M291" s="97" t="str">
        <f t="shared" si="75"/>
        <v>profit</v>
      </c>
      <c r="N291" s="100" t="b">
        <f t="shared" si="76"/>
        <v>0</v>
      </c>
      <c r="V291" s="99">
        <v>45598</v>
      </c>
      <c r="W291" s="97" t="s">
        <v>294</v>
      </c>
      <c r="X291" s="19" t="s">
        <v>139</v>
      </c>
      <c r="Y291" s="97" t="s">
        <v>140</v>
      </c>
      <c r="Z291" s="97" t="s">
        <v>118</v>
      </c>
      <c r="AA291" s="97" t="s">
        <v>123</v>
      </c>
      <c r="AB291" s="97">
        <v>25</v>
      </c>
      <c r="AC291" s="97">
        <v>532</v>
      </c>
      <c r="AD291" s="97">
        <v>1358</v>
      </c>
      <c r="AE291" s="97">
        <f t="shared" si="77"/>
        <v>13300</v>
      </c>
      <c r="AF291" s="97">
        <f t="shared" si="81"/>
        <v>33950</v>
      </c>
      <c r="AG291" s="97">
        <f t="shared" si="78"/>
        <v>20650</v>
      </c>
      <c r="AH291" s="97" t="str">
        <f t="shared" si="79"/>
        <v>profit</v>
      </c>
      <c r="AI291" s="100" t="b">
        <f t="shared" si="80"/>
        <v>0</v>
      </c>
    </row>
    <row r="292" spans="1:35" x14ac:dyDescent="0.3">
      <c r="A292" s="99">
        <v>45630</v>
      </c>
      <c r="B292" s="97" t="s">
        <v>319</v>
      </c>
      <c r="C292" s="19" t="s">
        <v>139</v>
      </c>
      <c r="D292" s="97" t="s">
        <v>205</v>
      </c>
      <c r="E292" s="97" t="s">
        <v>133</v>
      </c>
      <c r="F292" s="97" t="s">
        <v>123</v>
      </c>
      <c r="G292" s="97">
        <v>23</v>
      </c>
      <c r="H292" s="97">
        <v>632</v>
      </c>
      <c r="I292" s="97">
        <v>762</v>
      </c>
      <c r="J292" s="97">
        <f t="shared" si="72"/>
        <v>14536</v>
      </c>
      <c r="K292" s="97">
        <f t="shared" si="73"/>
        <v>17526</v>
      </c>
      <c r="L292" s="97">
        <f t="shared" si="74"/>
        <v>2990</v>
      </c>
      <c r="M292" s="97" t="str">
        <f t="shared" si="75"/>
        <v>profit</v>
      </c>
      <c r="N292" s="100" t="b">
        <f t="shared" si="76"/>
        <v>0</v>
      </c>
      <c r="V292" s="99">
        <v>45599</v>
      </c>
      <c r="W292" s="97" t="s">
        <v>295</v>
      </c>
      <c r="X292" s="19" t="s">
        <v>139</v>
      </c>
      <c r="Y292" s="97" t="s">
        <v>140</v>
      </c>
      <c r="Z292" s="97" t="s">
        <v>120</v>
      </c>
      <c r="AA292" s="97" t="s">
        <v>112</v>
      </c>
      <c r="AB292" s="97">
        <v>29</v>
      </c>
      <c r="AC292" s="97">
        <v>813</v>
      </c>
      <c r="AD292" s="97">
        <v>1241</v>
      </c>
      <c r="AE292" s="97">
        <f t="shared" si="77"/>
        <v>23577</v>
      </c>
      <c r="AF292" s="97">
        <f t="shared" si="81"/>
        <v>35989</v>
      </c>
      <c r="AG292" s="97">
        <f t="shared" si="78"/>
        <v>12412</v>
      </c>
      <c r="AH292" s="97" t="str">
        <f t="shared" si="79"/>
        <v>profit</v>
      </c>
      <c r="AI292" s="100" t="b">
        <f t="shared" si="80"/>
        <v>1</v>
      </c>
    </row>
    <row r="293" spans="1:35" x14ac:dyDescent="0.3">
      <c r="A293" s="99">
        <v>45631</v>
      </c>
      <c r="B293" s="97" t="s">
        <v>320</v>
      </c>
      <c r="C293" s="19" t="s">
        <v>139</v>
      </c>
      <c r="D293" s="97" t="s">
        <v>205</v>
      </c>
      <c r="E293" s="97" t="s">
        <v>125</v>
      </c>
      <c r="F293" s="97" t="s">
        <v>123</v>
      </c>
      <c r="G293" s="97">
        <v>21</v>
      </c>
      <c r="H293" s="97">
        <v>540</v>
      </c>
      <c r="I293" s="97">
        <v>812</v>
      </c>
      <c r="J293" s="97">
        <f t="shared" si="72"/>
        <v>11340</v>
      </c>
      <c r="K293" s="97">
        <f t="shared" si="73"/>
        <v>17052</v>
      </c>
      <c r="L293" s="97">
        <f t="shared" si="74"/>
        <v>5712</v>
      </c>
      <c r="M293" s="97" t="str">
        <f t="shared" si="75"/>
        <v>profit</v>
      </c>
      <c r="N293" s="100" t="b">
        <f t="shared" si="76"/>
        <v>0</v>
      </c>
      <c r="V293" s="99">
        <v>45600</v>
      </c>
      <c r="W293" s="97" t="s">
        <v>296</v>
      </c>
      <c r="X293" s="19" t="s">
        <v>139</v>
      </c>
      <c r="Y293" s="97" t="s">
        <v>140</v>
      </c>
      <c r="Z293" s="97" t="s">
        <v>120</v>
      </c>
      <c r="AA293" s="97" t="s">
        <v>112</v>
      </c>
      <c r="AB293" s="97">
        <v>28</v>
      </c>
      <c r="AC293" s="97">
        <v>858</v>
      </c>
      <c r="AD293" s="97">
        <v>1127</v>
      </c>
      <c r="AE293" s="97">
        <f t="shared" si="77"/>
        <v>24024</v>
      </c>
      <c r="AF293" s="97">
        <f t="shared" si="81"/>
        <v>31556</v>
      </c>
      <c r="AG293" s="97">
        <f t="shared" si="78"/>
        <v>7532</v>
      </c>
      <c r="AH293" s="97" t="str">
        <f t="shared" si="79"/>
        <v>profit</v>
      </c>
      <c r="AI293" s="100" t="b">
        <f t="shared" si="80"/>
        <v>1</v>
      </c>
    </row>
    <row r="294" spans="1:35" x14ac:dyDescent="0.3">
      <c r="A294" s="99">
        <v>45632</v>
      </c>
      <c r="B294" s="97" t="s">
        <v>321</v>
      </c>
      <c r="C294" s="19" t="s">
        <v>139</v>
      </c>
      <c r="D294" s="97" t="s">
        <v>205</v>
      </c>
      <c r="E294" s="97" t="s">
        <v>200</v>
      </c>
      <c r="F294" s="97" t="s">
        <v>123</v>
      </c>
      <c r="G294" s="97">
        <v>30</v>
      </c>
      <c r="H294" s="97">
        <v>557</v>
      </c>
      <c r="I294" s="97">
        <v>886</v>
      </c>
      <c r="J294" s="97">
        <f t="shared" si="72"/>
        <v>16710</v>
      </c>
      <c r="K294" s="97" t="s">
        <v>340</v>
      </c>
      <c r="L294" s="97" t="e">
        <f t="shared" si="74"/>
        <v>#VALUE!</v>
      </c>
      <c r="M294" s="97" t="e">
        <f t="shared" si="75"/>
        <v>#VALUE!</v>
      </c>
      <c r="N294" s="100" t="e">
        <f t="shared" si="76"/>
        <v>#VALUE!</v>
      </c>
      <c r="V294" s="99">
        <v>45601</v>
      </c>
      <c r="W294" s="97" t="s">
        <v>297</v>
      </c>
      <c r="X294" s="19" t="s">
        <v>139</v>
      </c>
      <c r="Y294" s="97" t="s">
        <v>140</v>
      </c>
      <c r="Z294" s="97" t="s">
        <v>122</v>
      </c>
      <c r="AA294" s="97" t="s">
        <v>112</v>
      </c>
      <c r="AB294" s="97">
        <v>24</v>
      </c>
      <c r="AC294" s="97">
        <v>641</v>
      </c>
      <c r="AD294" s="97">
        <v>1337</v>
      </c>
      <c r="AE294" s="97">
        <f t="shared" si="77"/>
        <v>15384</v>
      </c>
      <c r="AF294" s="97">
        <f t="shared" si="81"/>
        <v>32088</v>
      </c>
      <c r="AG294" s="97">
        <f t="shared" si="78"/>
        <v>16704</v>
      </c>
      <c r="AH294" s="97" t="str">
        <f t="shared" si="79"/>
        <v>profit</v>
      </c>
      <c r="AI294" s="100" t="b">
        <f t="shared" si="80"/>
        <v>0</v>
      </c>
    </row>
    <row r="295" spans="1:35" x14ac:dyDescent="0.3">
      <c r="A295" s="99">
        <v>45677</v>
      </c>
      <c r="B295" s="97" t="s">
        <v>216</v>
      </c>
      <c r="C295" s="19" t="s">
        <v>109</v>
      </c>
      <c r="D295" s="97" t="s">
        <v>131</v>
      </c>
      <c r="E295" s="97" t="s">
        <v>242</v>
      </c>
      <c r="F295" s="97" t="s">
        <v>112</v>
      </c>
      <c r="G295" s="97">
        <v>20</v>
      </c>
      <c r="H295" s="97">
        <v>803</v>
      </c>
      <c r="I295" s="97">
        <v>941</v>
      </c>
      <c r="J295" s="97">
        <f t="shared" si="72"/>
        <v>16060</v>
      </c>
      <c r="K295" s="97">
        <f t="shared" si="73"/>
        <v>18820</v>
      </c>
      <c r="L295" s="97">
        <f t="shared" si="74"/>
        <v>2760</v>
      </c>
      <c r="M295" s="97" t="str">
        <f t="shared" si="75"/>
        <v>profit</v>
      </c>
      <c r="N295" s="100" t="b">
        <f t="shared" si="76"/>
        <v>0</v>
      </c>
      <c r="V295" s="99">
        <v>45609</v>
      </c>
      <c r="W295" s="97" t="s">
        <v>299</v>
      </c>
      <c r="X295" s="19" t="s">
        <v>139</v>
      </c>
      <c r="Y295" s="97" t="s">
        <v>154</v>
      </c>
      <c r="Z295" s="97" t="s">
        <v>166</v>
      </c>
      <c r="AA295" s="97" t="s">
        <v>123</v>
      </c>
      <c r="AB295" s="97">
        <v>25</v>
      </c>
      <c r="AC295" s="97">
        <v>709</v>
      </c>
      <c r="AD295" s="97">
        <v>1386</v>
      </c>
      <c r="AE295" s="97">
        <f t="shared" si="77"/>
        <v>17725</v>
      </c>
      <c r="AF295" s="97">
        <f t="shared" si="81"/>
        <v>34650</v>
      </c>
      <c r="AG295" s="97">
        <f t="shared" si="78"/>
        <v>16925</v>
      </c>
      <c r="AH295" s="97" t="str">
        <f t="shared" si="79"/>
        <v>profit</v>
      </c>
      <c r="AI295" s="100" t="b">
        <f t="shared" si="80"/>
        <v>0</v>
      </c>
    </row>
    <row r="296" spans="1:35" x14ac:dyDescent="0.3">
      <c r="A296" s="99">
        <v>45633</v>
      </c>
      <c r="B296" s="97" t="s">
        <v>322</v>
      </c>
      <c r="C296" s="19" t="s">
        <v>139</v>
      </c>
      <c r="D296" s="97" t="s">
        <v>205</v>
      </c>
      <c r="E296" s="97" t="s">
        <v>137</v>
      </c>
      <c r="F296" s="97" t="s">
        <v>112</v>
      </c>
      <c r="G296" s="97">
        <v>24</v>
      </c>
      <c r="H296" s="97">
        <v>651</v>
      </c>
      <c r="I296" s="97">
        <v>1386</v>
      </c>
      <c r="J296" s="97">
        <f t="shared" si="72"/>
        <v>15624</v>
      </c>
      <c r="K296" s="97">
        <f t="shared" si="73"/>
        <v>33264</v>
      </c>
      <c r="L296" s="97">
        <f t="shared" si="74"/>
        <v>17640</v>
      </c>
      <c r="M296" s="97" t="str">
        <f t="shared" si="75"/>
        <v>profit</v>
      </c>
      <c r="N296" s="100" t="b">
        <f t="shared" si="76"/>
        <v>0</v>
      </c>
      <c r="V296" s="99">
        <v>45611</v>
      </c>
      <c r="W296" s="97" t="s">
        <v>300</v>
      </c>
      <c r="X296" s="19" t="s">
        <v>139</v>
      </c>
      <c r="Y296" s="97" t="s">
        <v>154</v>
      </c>
      <c r="Z296" s="97" t="s">
        <v>129</v>
      </c>
      <c r="AA296" s="97" t="s">
        <v>123</v>
      </c>
      <c r="AB296" s="97">
        <v>25</v>
      </c>
      <c r="AC296" s="97">
        <v>802</v>
      </c>
      <c r="AD296" s="97">
        <v>1126</v>
      </c>
      <c r="AE296" s="97">
        <f t="shared" si="77"/>
        <v>20050</v>
      </c>
      <c r="AF296" s="97">
        <f t="shared" si="81"/>
        <v>28150</v>
      </c>
      <c r="AG296" s="97">
        <f t="shared" si="78"/>
        <v>8100</v>
      </c>
      <c r="AH296" s="97" t="str">
        <f t="shared" si="79"/>
        <v>profit</v>
      </c>
      <c r="AI296" s="100" t="b">
        <f t="shared" si="80"/>
        <v>1</v>
      </c>
    </row>
    <row r="297" spans="1:35" x14ac:dyDescent="0.3">
      <c r="A297" s="99">
        <v>45635</v>
      </c>
      <c r="B297" s="97" t="s">
        <v>323</v>
      </c>
      <c r="C297" s="19" t="s">
        <v>139</v>
      </c>
      <c r="D297" s="97" t="s">
        <v>205</v>
      </c>
      <c r="E297" s="97" t="s">
        <v>242</v>
      </c>
      <c r="F297" s="97" t="s">
        <v>123</v>
      </c>
      <c r="G297" s="97">
        <v>20</v>
      </c>
      <c r="H297" s="97">
        <v>565</v>
      </c>
      <c r="I297" s="97">
        <v>943</v>
      </c>
      <c r="J297" s="97">
        <f t="shared" si="72"/>
        <v>11300</v>
      </c>
      <c r="K297" s="97">
        <f t="shared" si="73"/>
        <v>18860</v>
      </c>
      <c r="L297" s="97">
        <f t="shared" si="74"/>
        <v>7560</v>
      </c>
      <c r="M297" s="97" t="str">
        <f t="shared" si="75"/>
        <v>profit</v>
      </c>
      <c r="N297" s="100" t="b">
        <f t="shared" si="76"/>
        <v>0</v>
      </c>
      <c r="V297" s="99">
        <v>45612</v>
      </c>
      <c r="W297" s="97" t="s">
        <v>301</v>
      </c>
      <c r="X297" s="19" t="s">
        <v>139</v>
      </c>
      <c r="Y297" s="97" t="s">
        <v>154</v>
      </c>
      <c r="Z297" s="97" t="s">
        <v>137</v>
      </c>
      <c r="AA297" s="97" t="s">
        <v>123</v>
      </c>
      <c r="AB297" s="97">
        <v>23</v>
      </c>
      <c r="AC297" s="97">
        <v>893</v>
      </c>
      <c r="AD297" s="97">
        <v>761</v>
      </c>
      <c r="AE297" s="97">
        <f t="shared" si="77"/>
        <v>20539</v>
      </c>
      <c r="AF297" s="97">
        <f t="shared" si="81"/>
        <v>17503</v>
      </c>
      <c r="AG297" s="97">
        <f t="shared" si="78"/>
        <v>-3036</v>
      </c>
      <c r="AH297" s="97" t="str">
        <f t="shared" si="79"/>
        <v>loss</v>
      </c>
      <c r="AI297" s="100" t="b">
        <f t="shared" si="80"/>
        <v>0</v>
      </c>
    </row>
    <row r="298" spans="1:35" x14ac:dyDescent="0.3">
      <c r="A298" s="99">
        <v>45689</v>
      </c>
      <c r="B298" s="97" t="s">
        <v>324</v>
      </c>
      <c r="C298" s="19" t="s">
        <v>139</v>
      </c>
      <c r="D298" s="97" t="s">
        <v>205</v>
      </c>
      <c r="E298" s="97" t="s">
        <v>137</v>
      </c>
      <c r="F298" s="97" t="s">
        <v>112</v>
      </c>
      <c r="G298" s="97">
        <v>22</v>
      </c>
      <c r="H298" s="97">
        <v>810</v>
      </c>
      <c r="I298" s="97">
        <v>1201</v>
      </c>
      <c r="J298" s="97">
        <f t="shared" si="72"/>
        <v>17820</v>
      </c>
      <c r="K298" s="97">
        <f t="shared" si="73"/>
        <v>26422</v>
      </c>
      <c r="L298" s="97">
        <f t="shared" si="74"/>
        <v>8602</v>
      </c>
      <c r="M298" s="97" t="str">
        <f t="shared" si="75"/>
        <v>profit</v>
      </c>
      <c r="N298" s="100" t="b">
        <f t="shared" si="76"/>
        <v>0</v>
      </c>
      <c r="V298" s="99">
        <v>45613</v>
      </c>
      <c r="W298" s="97" t="s">
        <v>302</v>
      </c>
      <c r="X298" s="19" t="s">
        <v>139</v>
      </c>
      <c r="Y298" s="97" t="s">
        <v>154</v>
      </c>
      <c r="Z298" s="97" t="s">
        <v>151</v>
      </c>
      <c r="AA298" s="97" t="s">
        <v>123</v>
      </c>
      <c r="AB298" s="97">
        <v>29</v>
      </c>
      <c r="AC298" s="97">
        <v>852</v>
      </c>
      <c r="AD298" s="97">
        <v>1452</v>
      </c>
      <c r="AE298" s="97">
        <f t="shared" si="77"/>
        <v>24708</v>
      </c>
      <c r="AF298" s="97">
        <f t="shared" si="81"/>
        <v>42108</v>
      </c>
      <c r="AG298" s="97">
        <f t="shared" si="78"/>
        <v>17400</v>
      </c>
      <c r="AH298" s="97" t="str">
        <f t="shared" si="79"/>
        <v>profit</v>
      </c>
      <c r="AI298" s="100" t="b">
        <f t="shared" si="80"/>
        <v>1</v>
      </c>
    </row>
    <row r="299" spans="1:35" x14ac:dyDescent="0.3">
      <c r="A299" s="99">
        <v>45690</v>
      </c>
      <c r="B299" s="97" t="s">
        <v>325</v>
      </c>
      <c r="C299" s="19" t="s">
        <v>139</v>
      </c>
      <c r="D299" s="97" t="s">
        <v>205</v>
      </c>
      <c r="E299" s="97" t="s">
        <v>240</v>
      </c>
      <c r="F299" s="97" t="s">
        <v>112</v>
      </c>
      <c r="G299" s="97">
        <v>23</v>
      </c>
      <c r="H299" s="97">
        <v>827</v>
      </c>
      <c r="I299" s="97">
        <v>1185</v>
      </c>
      <c r="J299" s="97">
        <f t="shared" si="72"/>
        <v>19021</v>
      </c>
      <c r="K299" s="97">
        <f t="shared" si="73"/>
        <v>27255</v>
      </c>
      <c r="L299" s="97">
        <f t="shared" si="74"/>
        <v>8234</v>
      </c>
      <c r="M299" s="97" t="str">
        <f t="shared" si="75"/>
        <v>profit</v>
      </c>
      <c r="N299" s="100" t="b">
        <f t="shared" si="76"/>
        <v>0</v>
      </c>
      <c r="V299" s="99">
        <v>45535</v>
      </c>
      <c r="W299" s="97" t="s">
        <v>211</v>
      </c>
      <c r="X299" s="19" t="s">
        <v>127</v>
      </c>
      <c r="Y299" s="97" t="s">
        <v>186</v>
      </c>
      <c r="Z299" s="97" t="s">
        <v>115</v>
      </c>
      <c r="AA299" s="97" t="s">
        <v>123</v>
      </c>
      <c r="AB299" s="97">
        <v>64</v>
      </c>
      <c r="AC299" s="97">
        <v>580</v>
      </c>
      <c r="AD299" s="97">
        <v>1164</v>
      </c>
      <c r="AE299" s="97">
        <f t="shared" si="77"/>
        <v>37120</v>
      </c>
      <c r="AF299" s="97">
        <f t="shared" si="81"/>
        <v>74496</v>
      </c>
      <c r="AG299" s="97">
        <f t="shared" si="78"/>
        <v>37376</v>
      </c>
      <c r="AH299" s="97" t="str">
        <f t="shared" si="79"/>
        <v>profit</v>
      </c>
      <c r="AI299" s="100" t="b">
        <f t="shared" si="80"/>
        <v>1</v>
      </c>
    </row>
    <row r="300" spans="1:35" x14ac:dyDescent="0.3">
      <c r="A300" s="99">
        <v>45691</v>
      </c>
      <c r="B300" s="97" t="s">
        <v>326</v>
      </c>
      <c r="C300" s="19" t="s">
        <v>139</v>
      </c>
      <c r="D300" s="97" t="s">
        <v>205</v>
      </c>
      <c r="E300" s="97" t="s">
        <v>242</v>
      </c>
      <c r="F300" s="97" t="s">
        <v>112</v>
      </c>
      <c r="G300" s="97">
        <v>23</v>
      </c>
      <c r="H300" s="97">
        <v>570</v>
      </c>
      <c r="I300" s="97">
        <v>1230</v>
      </c>
      <c r="J300" s="97">
        <f t="shared" si="72"/>
        <v>13110</v>
      </c>
      <c r="K300" s="97">
        <f t="shared" si="73"/>
        <v>28290</v>
      </c>
      <c r="L300" s="97">
        <f t="shared" si="74"/>
        <v>15180</v>
      </c>
      <c r="M300" s="97" t="str">
        <f t="shared" si="75"/>
        <v>profit</v>
      </c>
      <c r="N300" s="100" t="b">
        <f t="shared" si="76"/>
        <v>0</v>
      </c>
      <c r="V300" s="99">
        <v>45615</v>
      </c>
      <c r="W300" s="97" t="s">
        <v>303</v>
      </c>
      <c r="X300" s="19" t="s">
        <v>139</v>
      </c>
      <c r="Y300" s="97" t="s">
        <v>154</v>
      </c>
      <c r="Z300" s="97" t="s">
        <v>133</v>
      </c>
      <c r="AA300" s="97" t="s">
        <v>112</v>
      </c>
      <c r="AB300" s="97">
        <v>23</v>
      </c>
      <c r="AC300" s="97">
        <v>747</v>
      </c>
      <c r="AD300" s="97">
        <v>1340</v>
      </c>
      <c r="AE300" s="97">
        <f t="shared" si="77"/>
        <v>17181</v>
      </c>
      <c r="AF300" s="97">
        <f t="shared" si="81"/>
        <v>30820</v>
      </c>
      <c r="AG300" s="97">
        <f t="shared" si="78"/>
        <v>13639</v>
      </c>
      <c r="AH300" s="97" t="str">
        <f t="shared" si="79"/>
        <v>profit</v>
      </c>
      <c r="AI300" s="100" t="b">
        <f t="shared" si="80"/>
        <v>0</v>
      </c>
    </row>
    <row r="301" spans="1:35" x14ac:dyDescent="0.3">
      <c r="A301" s="99">
        <v>45683</v>
      </c>
      <c r="B301" s="97" t="s">
        <v>327</v>
      </c>
      <c r="C301" s="19" t="s">
        <v>109</v>
      </c>
      <c r="D301" s="97" t="s">
        <v>131</v>
      </c>
      <c r="E301" s="97" t="s">
        <v>122</v>
      </c>
      <c r="F301" s="97" t="s">
        <v>112</v>
      </c>
      <c r="G301" s="97">
        <v>19</v>
      </c>
      <c r="H301" s="97">
        <v>911</v>
      </c>
      <c r="I301" s="97">
        <v>1116</v>
      </c>
      <c r="J301" s="97">
        <f t="shared" si="72"/>
        <v>17309</v>
      </c>
      <c r="K301" s="97">
        <f t="shared" si="73"/>
        <v>21204</v>
      </c>
      <c r="L301" s="97">
        <f t="shared" si="74"/>
        <v>3895</v>
      </c>
      <c r="M301" s="97" t="str">
        <f t="shared" si="75"/>
        <v>profit</v>
      </c>
      <c r="N301" s="100" t="b">
        <f t="shared" si="76"/>
        <v>0</v>
      </c>
      <c r="V301" s="99">
        <v>45617</v>
      </c>
      <c r="W301" s="97" t="s">
        <v>304</v>
      </c>
      <c r="X301" s="19" t="s">
        <v>139</v>
      </c>
      <c r="Y301" s="97" t="s">
        <v>154</v>
      </c>
      <c r="Z301" s="97" t="s">
        <v>137</v>
      </c>
      <c r="AA301" s="97" t="s">
        <v>123</v>
      </c>
      <c r="AB301" s="97">
        <v>26</v>
      </c>
      <c r="AC301" s="97">
        <v>625</v>
      </c>
      <c r="AD301" s="97">
        <v>1298</v>
      </c>
      <c r="AE301" s="97">
        <f t="shared" si="77"/>
        <v>16250</v>
      </c>
      <c r="AF301" s="97">
        <f t="shared" si="81"/>
        <v>33748</v>
      </c>
      <c r="AG301" s="97">
        <f t="shared" si="78"/>
        <v>17498</v>
      </c>
      <c r="AH301" s="97" t="str">
        <f t="shared" si="79"/>
        <v>profit</v>
      </c>
      <c r="AI301" s="100" t="b">
        <f t="shared" si="80"/>
        <v>0</v>
      </c>
    </row>
    <row r="302" spans="1:35" x14ac:dyDescent="0.3">
      <c r="A302" s="99">
        <v>45692</v>
      </c>
      <c r="B302" s="97" t="s">
        <v>328</v>
      </c>
      <c r="C302" s="19" t="s">
        <v>139</v>
      </c>
      <c r="D302" s="97" t="s">
        <v>205</v>
      </c>
      <c r="E302" s="97" t="s">
        <v>111</v>
      </c>
      <c r="F302" s="97" t="s">
        <v>123</v>
      </c>
      <c r="G302" s="97">
        <v>21</v>
      </c>
      <c r="H302" s="97">
        <v>938</v>
      </c>
      <c r="I302" s="97">
        <v>1275</v>
      </c>
      <c r="J302" s="97">
        <f t="shared" si="72"/>
        <v>19698</v>
      </c>
      <c r="K302" s="97">
        <f t="shared" si="73"/>
        <v>26775</v>
      </c>
      <c r="L302" s="97">
        <f t="shared" si="74"/>
        <v>7077</v>
      </c>
      <c r="M302" s="97" t="str">
        <f t="shared" si="75"/>
        <v>profit</v>
      </c>
      <c r="N302" s="100" t="b">
        <f t="shared" si="76"/>
        <v>0</v>
      </c>
      <c r="V302" s="99">
        <v>45618</v>
      </c>
      <c r="W302" s="97" t="s">
        <v>306</v>
      </c>
      <c r="X302" s="19" t="s">
        <v>139</v>
      </c>
      <c r="Y302" s="97" t="s">
        <v>154</v>
      </c>
      <c r="Z302" s="97" t="s">
        <v>122</v>
      </c>
      <c r="AA302" s="97" t="s">
        <v>123</v>
      </c>
      <c r="AB302" s="97">
        <v>23</v>
      </c>
      <c r="AC302" s="97">
        <v>706</v>
      </c>
      <c r="AD302" s="97">
        <v>988</v>
      </c>
      <c r="AE302" s="97">
        <f t="shared" si="77"/>
        <v>16238</v>
      </c>
      <c r="AF302" s="97">
        <f t="shared" si="81"/>
        <v>22724</v>
      </c>
      <c r="AG302" s="97">
        <f t="shared" si="78"/>
        <v>6486</v>
      </c>
      <c r="AH302" s="97" t="str">
        <f t="shared" si="79"/>
        <v>profit</v>
      </c>
      <c r="AI302" s="100" t="b">
        <f t="shared" si="80"/>
        <v>0</v>
      </c>
    </row>
    <row r="303" spans="1:35" x14ac:dyDescent="0.3">
      <c r="A303" s="99">
        <v>45693</v>
      </c>
      <c r="B303" s="97" t="s">
        <v>329</v>
      </c>
      <c r="C303" s="19" t="s">
        <v>139</v>
      </c>
      <c r="D303" s="97" t="s">
        <v>205</v>
      </c>
      <c r="E303" s="97" t="s">
        <v>115</v>
      </c>
      <c r="F303" s="97" t="s">
        <v>123</v>
      </c>
      <c r="G303" s="97">
        <v>24</v>
      </c>
      <c r="H303" s="97">
        <v>993</v>
      </c>
      <c r="I303" s="97">
        <v>987</v>
      </c>
      <c r="J303" s="97">
        <f t="shared" si="72"/>
        <v>23832</v>
      </c>
      <c r="K303" s="97">
        <f t="shared" si="73"/>
        <v>23688</v>
      </c>
      <c r="L303" s="97">
        <f t="shared" si="74"/>
        <v>-144</v>
      </c>
      <c r="M303" s="97" t="str">
        <f t="shared" si="75"/>
        <v>loss</v>
      </c>
      <c r="N303" s="100" t="b">
        <f t="shared" si="76"/>
        <v>0</v>
      </c>
      <c r="V303" s="99">
        <v>45619</v>
      </c>
      <c r="W303" s="97" t="s">
        <v>308</v>
      </c>
      <c r="X303" s="19" t="s">
        <v>139</v>
      </c>
      <c r="Y303" s="97" t="s">
        <v>154</v>
      </c>
      <c r="Z303" s="97" t="s">
        <v>137</v>
      </c>
      <c r="AA303" s="97" t="s">
        <v>123</v>
      </c>
      <c r="AB303" s="97">
        <v>28</v>
      </c>
      <c r="AC303" s="97">
        <v>858</v>
      </c>
      <c r="AD303" s="97">
        <v>1113</v>
      </c>
      <c r="AE303" s="97">
        <f t="shared" si="77"/>
        <v>24024</v>
      </c>
      <c r="AF303" s="97">
        <f t="shared" si="81"/>
        <v>31164</v>
      </c>
      <c r="AG303" s="97">
        <f t="shared" si="78"/>
        <v>7140</v>
      </c>
      <c r="AH303" s="97" t="str">
        <f t="shared" si="79"/>
        <v>profit</v>
      </c>
      <c r="AI303" s="100" t="b">
        <f t="shared" si="80"/>
        <v>1</v>
      </c>
    </row>
    <row r="304" spans="1:35" x14ac:dyDescent="0.3">
      <c r="A304" s="99">
        <v>45694</v>
      </c>
      <c r="B304" s="97" t="s">
        <v>330</v>
      </c>
      <c r="C304" s="19" t="s">
        <v>139</v>
      </c>
      <c r="D304" s="97" t="s">
        <v>205</v>
      </c>
      <c r="E304" s="97" t="s">
        <v>118</v>
      </c>
      <c r="F304" s="97" t="s">
        <v>123</v>
      </c>
      <c r="G304" s="97">
        <v>20</v>
      </c>
      <c r="H304" s="97">
        <v>534</v>
      </c>
      <c r="I304" s="97">
        <v>1233</v>
      </c>
      <c r="J304" s="97">
        <f t="shared" si="72"/>
        <v>10680</v>
      </c>
      <c r="K304" s="97">
        <f t="shared" si="73"/>
        <v>24660</v>
      </c>
      <c r="L304" s="97">
        <f t="shared" si="74"/>
        <v>13980</v>
      </c>
      <c r="M304" s="97" t="str">
        <f t="shared" si="75"/>
        <v>profit</v>
      </c>
      <c r="N304" s="100" t="b">
        <f t="shared" si="76"/>
        <v>0</v>
      </c>
      <c r="V304" s="99">
        <v>45540</v>
      </c>
      <c r="W304" s="97" t="s">
        <v>212</v>
      </c>
      <c r="X304" s="19" t="s">
        <v>127</v>
      </c>
      <c r="Y304" s="97" t="s">
        <v>207</v>
      </c>
      <c r="Z304" s="97" t="s">
        <v>125</v>
      </c>
      <c r="AA304" s="97" t="s">
        <v>112</v>
      </c>
      <c r="AB304" s="97">
        <v>52</v>
      </c>
      <c r="AC304" s="97">
        <v>893</v>
      </c>
      <c r="AD304" s="97">
        <v>1055</v>
      </c>
      <c r="AE304" s="97">
        <f t="shared" si="77"/>
        <v>46436</v>
      </c>
      <c r="AF304" s="97">
        <f t="shared" si="81"/>
        <v>54860</v>
      </c>
      <c r="AG304" s="97">
        <f t="shared" si="78"/>
        <v>8424</v>
      </c>
      <c r="AH304" s="97" t="str">
        <f t="shared" si="79"/>
        <v>profit</v>
      </c>
      <c r="AI304" s="100" t="b">
        <f t="shared" si="80"/>
        <v>1</v>
      </c>
    </row>
    <row r="305" spans="1:35" x14ac:dyDescent="0.3">
      <c r="A305" s="99">
        <v>45687</v>
      </c>
      <c r="B305" s="97" t="s">
        <v>331</v>
      </c>
      <c r="C305" s="19" t="s">
        <v>109</v>
      </c>
      <c r="D305" s="97" t="s">
        <v>131</v>
      </c>
      <c r="E305" s="97" t="s">
        <v>125</v>
      </c>
      <c r="F305" s="97" t="s">
        <v>123</v>
      </c>
      <c r="G305" s="97">
        <v>10</v>
      </c>
      <c r="H305" s="97">
        <v>911</v>
      </c>
      <c r="I305" s="97">
        <v>1097</v>
      </c>
      <c r="J305" s="97">
        <f t="shared" si="72"/>
        <v>9110</v>
      </c>
      <c r="K305" s="97">
        <f t="shared" si="73"/>
        <v>10970</v>
      </c>
      <c r="L305" s="97">
        <f t="shared" si="74"/>
        <v>1860</v>
      </c>
      <c r="M305" s="97" t="str">
        <f t="shared" si="75"/>
        <v>profit</v>
      </c>
      <c r="N305" s="100" t="b">
        <f t="shared" si="76"/>
        <v>0</v>
      </c>
      <c r="V305" s="99">
        <v>45620</v>
      </c>
      <c r="W305" s="97" t="s">
        <v>310</v>
      </c>
      <c r="X305" s="19" t="s">
        <v>139</v>
      </c>
      <c r="Y305" s="97" t="s">
        <v>154</v>
      </c>
      <c r="Z305" s="97" t="s">
        <v>142</v>
      </c>
      <c r="AA305" s="97" t="s">
        <v>123</v>
      </c>
      <c r="AB305" s="97">
        <v>24</v>
      </c>
      <c r="AC305" s="97">
        <v>736</v>
      </c>
      <c r="AD305" s="97">
        <v>1406</v>
      </c>
      <c r="AE305" s="97">
        <f t="shared" si="77"/>
        <v>17664</v>
      </c>
      <c r="AF305" s="97">
        <f t="shared" si="81"/>
        <v>33744</v>
      </c>
      <c r="AG305" s="97">
        <f t="shared" si="78"/>
        <v>16080</v>
      </c>
      <c r="AH305" s="97" t="str">
        <f t="shared" si="79"/>
        <v>profit</v>
      </c>
      <c r="AI305" s="100" t="b">
        <f t="shared" si="80"/>
        <v>0</v>
      </c>
    </row>
    <row r="306" spans="1:35" x14ac:dyDescent="0.3">
      <c r="A306" s="99">
        <v>45695</v>
      </c>
      <c r="B306" s="97" t="s">
        <v>332</v>
      </c>
      <c r="C306" s="19" t="s">
        <v>139</v>
      </c>
      <c r="D306" s="97" t="s">
        <v>205</v>
      </c>
      <c r="E306" s="97" t="s">
        <v>120</v>
      </c>
      <c r="F306" s="97" t="s">
        <v>123</v>
      </c>
      <c r="G306" s="97">
        <v>23</v>
      </c>
      <c r="H306" s="97">
        <v>761</v>
      </c>
      <c r="I306" s="97">
        <v>901</v>
      </c>
      <c r="J306" s="97">
        <f t="shared" si="72"/>
        <v>17503</v>
      </c>
      <c r="K306" s="97">
        <f t="shared" si="73"/>
        <v>20723</v>
      </c>
      <c r="L306" s="97">
        <f t="shared" si="74"/>
        <v>3220</v>
      </c>
      <c r="M306" s="97" t="str">
        <f t="shared" si="75"/>
        <v>profit</v>
      </c>
      <c r="N306" s="100" t="b">
        <f t="shared" si="76"/>
        <v>0</v>
      </c>
      <c r="V306" s="99">
        <v>45621</v>
      </c>
      <c r="W306" s="97" t="s">
        <v>311</v>
      </c>
      <c r="X306" s="19" t="s">
        <v>139</v>
      </c>
      <c r="Y306" s="97" t="s">
        <v>154</v>
      </c>
      <c r="Z306" s="97" t="s">
        <v>122</v>
      </c>
      <c r="AA306" s="97" t="s">
        <v>123</v>
      </c>
      <c r="AB306" s="97">
        <v>20</v>
      </c>
      <c r="AC306" s="97">
        <v>599</v>
      </c>
      <c r="AD306" s="97">
        <v>1023</v>
      </c>
      <c r="AE306" s="97">
        <f t="shared" si="77"/>
        <v>11980</v>
      </c>
      <c r="AF306" s="97">
        <f t="shared" si="81"/>
        <v>20460</v>
      </c>
      <c r="AG306" s="97">
        <f t="shared" si="78"/>
        <v>8480</v>
      </c>
      <c r="AH306" s="97" t="str">
        <f t="shared" si="79"/>
        <v>profit</v>
      </c>
      <c r="AI306" s="100" t="b">
        <f t="shared" si="80"/>
        <v>0</v>
      </c>
    </row>
    <row r="307" spans="1:35" x14ac:dyDescent="0.3">
      <c r="A307" s="99">
        <v>45696</v>
      </c>
      <c r="B307" s="97" t="s">
        <v>333</v>
      </c>
      <c r="C307" s="19" t="s">
        <v>139</v>
      </c>
      <c r="D307" s="97" t="s">
        <v>205</v>
      </c>
      <c r="E307" s="97" t="s">
        <v>120</v>
      </c>
      <c r="F307" s="97" t="s">
        <v>123</v>
      </c>
      <c r="G307" s="97">
        <v>23</v>
      </c>
      <c r="H307" s="97">
        <v>701</v>
      </c>
      <c r="I307" s="97">
        <v>1322</v>
      </c>
      <c r="J307" s="97">
        <f t="shared" si="72"/>
        <v>16123</v>
      </c>
      <c r="K307" s="97">
        <f t="shared" si="73"/>
        <v>30406</v>
      </c>
      <c r="L307" s="97">
        <f t="shared" si="74"/>
        <v>14283</v>
      </c>
      <c r="M307" s="97" t="str">
        <f t="shared" si="75"/>
        <v>profit</v>
      </c>
      <c r="N307" s="100" t="b">
        <f t="shared" si="76"/>
        <v>0</v>
      </c>
      <c r="V307" s="99">
        <v>45622</v>
      </c>
      <c r="W307" s="97" t="s">
        <v>312</v>
      </c>
      <c r="X307" s="19" t="s">
        <v>139</v>
      </c>
      <c r="Y307" s="97" t="s">
        <v>154</v>
      </c>
      <c r="Z307" s="97" t="s">
        <v>145</v>
      </c>
      <c r="AA307" s="97" t="s">
        <v>112</v>
      </c>
      <c r="AB307" s="97">
        <v>22</v>
      </c>
      <c r="AC307" s="97">
        <v>524</v>
      </c>
      <c r="AD307" s="97">
        <v>1147</v>
      </c>
      <c r="AE307" s="97">
        <f t="shared" si="77"/>
        <v>11528</v>
      </c>
      <c r="AF307" s="97">
        <f t="shared" si="81"/>
        <v>25234</v>
      </c>
      <c r="AG307" s="97">
        <f t="shared" si="78"/>
        <v>13706</v>
      </c>
      <c r="AH307" s="97" t="str">
        <f t="shared" si="79"/>
        <v>profit</v>
      </c>
      <c r="AI307" s="100" t="b">
        <f t="shared" si="80"/>
        <v>0</v>
      </c>
    </row>
    <row r="308" spans="1:35" x14ac:dyDescent="0.3">
      <c r="A308" s="99">
        <v>45697</v>
      </c>
      <c r="B308" s="97" t="s">
        <v>334</v>
      </c>
      <c r="C308" s="19" t="s">
        <v>139</v>
      </c>
      <c r="D308" s="97" t="s">
        <v>205</v>
      </c>
      <c r="E308" s="97" t="s">
        <v>122</v>
      </c>
      <c r="F308" s="97" t="s">
        <v>112</v>
      </c>
      <c r="G308" s="97">
        <v>25</v>
      </c>
      <c r="H308" s="97">
        <v>541</v>
      </c>
      <c r="I308" s="97">
        <v>1090</v>
      </c>
      <c r="J308" s="97">
        <f t="shared" si="72"/>
        <v>13525</v>
      </c>
      <c r="K308" s="97">
        <f t="shared" si="73"/>
        <v>27250</v>
      </c>
      <c r="L308" s="97">
        <f t="shared" si="74"/>
        <v>13725</v>
      </c>
      <c r="M308" s="97" t="str">
        <f t="shared" si="75"/>
        <v>profit</v>
      </c>
      <c r="N308" s="100" t="b">
        <f t="shared" si="76"/>
        <v>0</v>
      </c>
      <c r="V308" s="99">
        <v>45623</v>
      </c>
      <c r="W308" s="97" t="s">
        <v>313</v>
      </c>
      <c r="X308" s="19" t="s">
        <v>139</v>
      </c>
      <c r="Y308" s="97" t="s">
        <v>154</v>
      </c>
      <c r="Z308" s="97" t="s">
        <v>146</v>
      </c>
      <c r="AA308" s="97" t="s">
        <v>112</v>
      </c>
      <c r="AB308" s="97">
        <v>27</v>
      </c>
      <c r="AC308" s="97">
        <v>744</v>
      </c>
      <c r="AD308" s="97">
        <v>1253</v>
      </c>
      <c r="AE308" s="97">
        <f t="shared" si="77"/>
        <v>20088</v>
      </c>
      <c r="AF308" s="97">
        <f t="shared" si="81"/>
        <v>33831</v>
      </c>
      <c r="AG308" s="97">
        <f t="shared" si="78"/>
        <v>13743</v>
      </c>
      <c r="AH308" s="97" t="str">
        <f t="shared" si="79"/>
        <v>profit</v>
      </c>
      <c r="AI308" s="100" t="b">
        <f t="shared" si="80"/>
        <v>1</v>
      </c>
    </row>
    <row r="309" spans="1:35" x14ac:dyDescent="0.3">
      <c r="A309" s="99">
        <v>45699</v>
      </c>
      <c r="B309" s="97" t="s">
        <v>335</v>
      </c>
      <c r="C309" s="19" t="s">
        <v>139</v>
      </c>
      <c r="D309" s="97" t="s">
        <v>205</v>
      </c>
      <c r="E309" s="97" t="s">
        <v>129</v>
      </c>
      <c r="F309" s="97" t="s">
        <v>112</v>
      </c>
      <c r="G309" s="97">
        <v>28</v>
      </c>
      <c r="H309" s="97">
        <v>708</v>
      </c>
      <c r="I309" s="97">
        <v>1358</v>
      </c>
      <c r="J309" s="97">
        <f t="shared" si="72"/>
        <v>19824</v>
      </c>
      <c r="K309" s="97">
        <f t="shared" si="73"/>
        <v>38024</v>
      </c>
      <c r="L309" s="97">
        <f t="shared" si="74"/>
        <v>18200</v>
      </c>
      <c r="M309" s="97" t="str">
        <f t="shared" si="75"/>
        <v>profit</v>
      </c>
      <c r="N309" s="100" t="b">
        <f t="shared" si="76"/>
        <v>0</v>
      </c>
      <c r="V309" s="99">
        <v>45624</v>
      </c>
      <c r="W309" s="97" t="s">
        <v>314</v>
      </c>
      <c r="X309" s="19" t="s">
        <v>139</v>
      </c>
      <c r="Y309" s="97" t="s">
        <v>205</v>
      </c>
      <c r="Z309" s="97" t="s">
        <v>129</v>
      </c>
      <c r="AA309" s="97" t="s">
        <v>112</v>
      </c>
      <c r="AB309" s="97">
        <v>27</v>
      </c>
      <c r="AC309" s="97">
        <v>826</v>
      </c>
      <c r="AD309" s="97">
        <v>917</v>
      </c>
      <c r="AE309" s="97">
        <f t="shared" si="77"/>
        <v>22302</v>
      </c>
      <c r="AF309" s="97">
        <f t="shared" si="81"/>
        <v>24759</v>
      </c>
      <c r="AG309" s="97">
        <f t="shared" si="78"/>
        <v>2457</v>
      </c>
      <c r="AH309" s="97" t="str">
        <f t="shared" si="79"/>
        <v>profit</v>
      </c>
      <c r="AI309" s="100" t="b">
        <f t="shared" si="80"/>
        <v>1</v>
      </c>
    </row>
    <row r="310" spans="1:35" x14ac:dyDescent="0.3">
      <c r="A310" s="99">
        <v>45383</v>
      </c>
      <c r="B310" s="97" t="s">
        <v>218</v>
      </c>
      <c r="C310" s="19" t="s">
        <v>139</v>
      </c>
      <c r="D310" s="97" t="s">
        <v>140</v>
      </c>
      <c r="E310" s="97" t="s">
        <v>161</v>
      </c>
      <c r="F310" s="97" t="s">
        <v>123</v>
      </c>
      <c r="G310" s="97">
        <v>28</v>
      </c>
      <c r="H310" s="97">
        <v>826</v>
      </c>
      <c r="I310" s="97">
        <v>929</v>
      </c>
      <c r="J310" s="97">
        <f t="shared" si="72"/>
        <v>23128</v>
      </c>
      <c r="K310" s="97">
        <f t="shared" si="73"/>
        <v>26012</v>
      </c>
      <c r="L310" s="97">
        <f t="shared" si="74"/>
        <v>2884</v>
      </c>
      <c r="M310" s="97" t="str">
        <f t="shared" si="75"/>
        <v>profit</v>
      </c>
      <c r="N310" s="100" t="b">
        <f t="shared" si="76"/>
        <v>1</v>
      </c>
      <c r="V310" s="99">
        <v>45625</v>
      </c>
      <c r="W310" s="97" t="s">
        <v>315</v>
      </c>
      <c r="X310" s="19" t="s">
        <v>139</v>
      </c>
      <c r="Y310" s="97" t="s">
        <v>205</v>
      </c>
      <c r="Z310" s="97" t="s">
        <v>133</v>
      </c>
      <c r="AA310" s="97" t="s">
        <v>112</v>
      </c>
      <c r="AB310" s="97">
        <v>27</v>
      </c>
      <c r="AC310" s="97">
        <v>573</v>
      </c>
      <c r="AD310" s="97">
        <v>1266</v>
      </c>
      <c r="AE310" s="97">
        <f t="shared" si="77"/>
        <v>15471</v>
      </c>
      <c r="AF310" s="97">
        <f t="shared" si="81"/>
        <v>34182</v>
      </c>
      <c r="AG310" s="97">
        <f t="shared" si="78"/>
        <v>18711</v>
      </c>
      <c r="AH310" s="97" t="str">
        <f t="shared" si="79"/>
        <v>profit</v>
      </c>
      <c r="AI310" s="100" t="b">
        <f t="shared" si="80"/>
        <v>0</v>
      </c>
    </row>
    <row r="311" spans="1:35" x14ac:dyDescent="0.3">
      <c r="A311" s="99">
        <v>45384</v>
      </c>
      <c r="B311" s="97" t="s">
        <v>219</v>
      </c>
      <c r="C311" s="19" t="s">
        <v>139</v>
      </c>
      <c r="D311" s="97" t="s">
        <v>220</v>
      </c>
      <c r="E311" s="97" t="s">
        <v>137</v>
      </c>
      <c r="F311" s="97" t="s">
        <v>123</v>
      </c>
      <c r="G311" s="97">
        <v>25</v>
      </c>
      <c r="H311" s="97">
        <v>952</v>
      </c>
      <c r="I311" s="97">
        <v>1261</v>
      </c>
      <c r="J311" s="97">
        <f t="shared" si="72"/>
        <v>23800</v>
      </c>
      <c r="K311" s="97">
        <f t="shared" si="73"/>
        <v>31525</v>
      </c>
      <c r="L311" s="97">
        <f t="shared" si="74"/>
        <v>7725</v>
      </c>
      <c r="M311" s="97" t="str">
        <f t="shared" si="75"/>
        <v>profit</v>
      </c>
      <c r="N311" s="100" t="b">
        <f t="shared" si="76"/>
        <v>1</v>
      </c>
      <c r="V311" s="99">
        <v>45627</v>
      </c>
      <c r="W311" s="97" t="s">
        <v>317</v>
      </c>
      <c r="X311" s="19" t="s">
        <v>139</v>
      </c>
      <c r="Y311" s="97" t="s">
        <v>205</v>
      </c>
      <c r="Z311" s="97" t="s">
        <v>155</v>
      </c>
      <c r="AA311" s="97" t="s">
        <v>112</v>
      </c>
      <c r="AB311" s="97">
        <v>28</v>
      </c>
      <c r="AC311" s="97">
        <v>798</v>
      </c>
      <c r="AD311" s="97">
        <v>1131</v>
      </c>
      <c r="AE311" s="97">
        <f t="shared" si="77"/>
        <v>22344</v>
      </c>
      <c r="AF311" s="97">
        <f t="shared" si="81"/>
        <v>31668</v>
      </c>
      <c r="AG311" s="97">
        <f t="shared" si="78"/>
        <v>9324</v>
      </c>
      <c r="AH311" s="97" t="str">
        <f t="shared" si="79"/>
        <v>profit</v>
      </c>
      <c r="AI311" s="100" t="b">
        <f t="shared" si="80"/>
        <v>1</v>
      </c>
    </row>
    <row r="312" spans="1:35" x14ac:dyDescent="0.3">
      <c r="A312" s="99">
        <v>45385</v>
      </c>
      <c r="B312" s="97" t="s">
        <v>221</v>
      </c>
      <c r="C312" s="19" t="s">
        <v>139</v>
      </c>
      <c r="D312" s="97" t="s">
        <v>220</v>
      </c>
      <c r="E312" s="97" t="s">
        <v>120</v>
      </c>
      <c r="F312" s="97" t="s">
        <v>123</v>
      </c>
      <c r="G312" s="97">
        <v>20</v>
      </c>
      <c r="H312" s="97">
        <v>940</v>
      </c>
      <c r="I312" s="97">
        <v>1259</v>
      </c>
      <c r="J312" s="97">
        <f t="shared" si="72"/>
        <v>18800</v>
      </c>
      <c r="K312" s="97">
        <f t="shared" si="73"/>
        <v>25180</v>
      </c>
      <c r="L312" s="97">
        <f t="shared" si="74"/>
        <v>6380</v>
      </c>
      <c r="M312" s="97" t="str">
        <f t="shared" si="75"/>
        <v>profit</v>
      </c>
      <c r="N312" s="100" t="b">
        <f t="shared" si="76"/>
        <v>0</v>
      </c>
      <c r="V312" s="99">
        <v>45628</v>
      </c>
      <c r="W312" s="97" t="s">
        <v>318</v>
      </c>
      <c r="X312" s="19" t="s">
        <v>139</v>
      </c>
      <c r="Y312" s="97" t="s">
        <v>205</v>
      </c>
      <c r="Z312" s="97" t="s">
        <v>155</v>
      </c>
      <c r="AA312" s="97" t="s">
        <v>112</v>
      </c>
      <c r="AB312" s="97">
        <v>25</v>
      </c>
      <c r="AC312" s="97">
        <v>982</v>
      </c>
      <c r="AD312" s="97">
        <v>1479</v>
      </c>
      <c r="AE312" s="97">
        <f t="shared" si="77"/>
        <v>24550</v>
      </c>
      <c r="AF312" s="97">
        <f t="shared" si="81"/>
        <v>36975</v>
      </c>
      <c r="AG312" s="97">
        <f t="shared" si="78"/>
        <v>12425</v>
      </c>
      <c r="AH312" s="97" t="str">
        <f t="shared" si="79"/>
        <v>profit</v>
      </c>
      <c r="AI312" s="100" t="b">
        <f t="shared" si="80"/>
        <v>1</v>
      </c>
    </row>
    <row r="313" spans="1:35" x14ac:dyDescent="0.3">
      <c r="A313" s="99">
        <v>45386</v>
      </c>
      <c r="B313" s="97" t="s">
        <v>223</v>
      </c>
      <c r="C313" s="19" t="s">
        <v>139</v>
      </c>
      <c r="D313" s="97" t="s">
        <v>220</v>
      </c>
      <c r="E313" s="97" t="s">
        <v>155</v>
      </c>
      <c r="F313" s="97" t="s">
        <v>123</v>
      </c>
      <c r="G313" s="97">
        <v>22</v>
      </c>
      <c r="H313" s="97">
        <v>785</v>
      </c>
      <c r="I313" s="97">
        <v>1292</v>
      </c>
      <c r="J313" s="97">
        <f t="shared" si="72"/>
        <v>17270</v>
      </c>
      <c r="K313" s="97">
        <f t="shared" si="73"/>
        <v>28424</v>
      </c>
      <c r="L313" s="97">
        <f t="shared" si="74"/>
        <v>11154</v>
      </c>
      <c r="M313" s="97" t="str">
        <f t="shared" si="75"/>
        <v>profit</v>
      </c>
      <c r="N313" s="100" t="b">
        <f t="shared" si="76"/>
        <v>0</v>
      </c>
      <c r="V313" s="99">
        <v>45549</v>
      </c>
      <c r="W313" s="97" t="s">
        <v>213</v>
      </c>
      <c r="X313" s="19" t="s">
        <v>109</v>
      </c>
      <c r="Y313" s="97" t="s">
        <v>131</v>
      </c>
      <c r="Z313" s="97" t="s">
        <v>129</v>
      </c>
      <c r="AA313" s="97" t="s">
        <v>112</v>
      </c>
      <c r="AB313" s="97">
        <v>19</v>
      </c>
      <c r="AC313" s="97">
        <v>938</v>
      </c>
      <c r="AD313" s="97">
        <v>1348</v>
      </c>
      <c r="AE313" s="97">
        <f t="shared" si="77"/>
        <v>17822</v>
      </c>
      <c r="AF313" s="97">
        <f t="shared" si="81"/>
        <v>25612</v>
      </c>
      <c r="AG313" s="97">
        <f t="shared" si="78"/>
        <v>7790</v>
      </c>
      <c r="AH313" s="97" t="str">
        <f t="shared" si="79"/>
        <v>profit</v>
      </c>
      <c r="AI313" s="100" t="b">
        <f t="shared" si="80"/>
        <v>0</v>
      </c>
    </row>
    <row r="314" spans="1:35" ht="15" thickBot="1" x14ac:dyDescent="0.35">
      <c r="A314" s="99">
        <v>45391</v>
      </c>
      <c r="B314" s="97" t="s">
        <v>224</v>
      </c>
      <c r="C314" s="19" t="s">
        <v>139</v>
      </c>
      <c r="D314" s="97" t="s">
        <v>140</v>
      </c>
      <c r="E314" s="97" t="s">
        <v>151</v>
      </c>
      <c r="F314" s="97" t="s">
        <v>112</v>
      </c>
      <c r="G314" s="97">
        <v>21</v>
      </c>
      <c r="H314" s="97">
        <v>879</v>
      </c>
      <c r="I314" s="97">
        <v>1019</v>
      </c>
      <c r="J314" s="97">
        <f t="shared" si="72"/>
        <v>18459</v>
      </c>
      <c r="K314" s="97">
        <f t="shared" si="73"/>
        <v>21399</v>
      </c>
      <c r="L314" s="97">
        <f t="shared" si="74"/>
        <v>2940</v>
      </c>
      <c r="M314" s="97" t="str">
        <f t="shared" si="75"/>
        <v>profit</v>
      </c>
      <c r="N314" s="100" t="b">
        <f t="shared" si="76"/>
        <v>0</v>
      </c>
      <c r="V314" s="102">
        <v>45630</v>
      </c>
      <c r="W314" s="98" t="s">
        <v>319</v>
      </c>
      <c r="X314" s="23" t="s">
        <v>139</v>
      </c>
      <c r="Y314" s="98" t="s">
        <v>205</v>
      </c>
      <c r="Z314" s="98" t="s">
        <v>133</v>
      </c>
      <c r="AA314" s="98" t="s">
        <v>123</v>
      </c>
      <c r="AB314" s="98">
        <v>29</v>
      </c>
      <c r="AC314" s="98">
        <v>841</v>
      </c>
      <c r="AD314" s="98">
        <v>854</v>
      </c>
      <c r="AE314" s="98">
        <f t="shared" si="77"/>
        <v>24389</v>
      </c>
      <c r="AF314" s="98">
        <f t="shared" si="81"/>
        <v>24766</v>
      </c>
      <c r="AG314" s="98">
        <f t="shared" si="78"/>
        <v>377</v>
      </c>
      <c r="AH314" s="98" t="str">
        <f t="shared" si="79"/>
        <v>profit</v>
      </c>
      <c r="AI314" s="103" t="b">
        <f t="shared" si="80"/>
        <v>1</v>
      </c>
    </row>
    <row r="315" spans="1:35" x14ac:dyDescent="0.3">
      <c r="A315" s="99">
        <v>45392</v>
      </c>
      <c r="B315" s="97" t="s">
        <v>225</v>
      </c>
      <c r="C315" s="19" t="s">
        <v>139</v>
      </c>
      <c r="D315" s="97" t="s">
        <v>140</v>
      </c>
      <c r="E315" s="97" t="s">
        <v>129</v>
      </c>
      <c r="F315" s="97" t="s">
        <v>112</v>
      </c>
      <c r="G315" s="97">
        <v>28</v>
      </c>
      <c r="H315" s="97">
        <v>937</v>
      </c>
      <c r="I315" s="97">
        <v>872</v>
      </c>
      <c r="J315" s="97">
        <f t="shared" si="72"/>
        <v>26236</v>
      </c>
      <c r="K315" s="97" t="s">
        <v>340</v>
      </c>
      <c r="L315" s="97" t="e">
        <f t="shared" si="74"/>
        <v>#VALUE!</v>
      </c>
      <c r="M315" s="97" t="e">
        <f t="shared" si="75"/>
        <v>#VALUE!</v>
      </c>
      <c r="N315" s="100" t="e">
        <f t="shared" si="76"/>
        <v>#VALUE!</v>
      </c>
    </row>
    <row r="316" spans="1:35" x14ac:dyDescent="0.3">
      <c r="A316" s="99">
        <v>45698</v>
      </c>
      <c r="B316" s="97" t="s">
        <v>336</v>
      </c>
      <c r="C316" s="19" t="s">
        <v>139</v>
      </c>
      <c r="D316" s="97" t="s">
        <v>205</v>
      </c>
      <c r="E316" s="97" t="s">
        <v>125</v>
      </c>
      <c r="F316" s="97" t="s">
        <v>112</v>
      </c>
      <c r="G316" s="97">
        <v>26</v>
      </c>
      <c r="H316" s="97">
        <v>751</v>
      </c>
      <c r="I316" s="97">
        <v>1292</v>
      </c>
      <c r="J316" s="97">
        <f t="shared" si="72"/>
        <v>19526</v>
      </c>
      <c r="K316" s="97">
        <f t="shared" si="73"/>
        <v>33592</v>
      </c>
      <c r="L316" s="97">
        <f t="shared" si="74"/>
        <v>14066</v>
      </c>
      <c r="M316" s="97" t="str">
        <f t="shared" si="75"/>
        <v>profit</v>
      </c>
      <c r="N316" s="100" t="b">
        <f t="shared" si="76"/>
        <v>0</v>
      </c>
    </row>
    <row r="317" spans="1:35" x14ac:dyDescent="0.3">
      <c r="A317" s="99">
        <v>45393</v>
      </c>
      <c r="B317" s="97" t="s">
        <v>226</v>
      </c>
      <c r="C317" s="19" t="s">
        <v>139</v>
      </c>
      <c r="D317" s="97" t="s">
        <v>140</v>
      </c>
      <c r="E317" s="97" t="s">
        <v>133</v>
      </c>
      <c r="F317" s="97" t="s">
        <v>112</v>
      </c>
      <c r="G317" s="97">
        <v>22</v>
      </c>
      <c r="H317" s="97">
        <v>832</v>
      </c>
      <c r="I317" s="97">
        <v>769</v>
      </c>
      <c r="J317" s="97">
        <f t="shared" si="72"/>
        <v>18304</v>
      </c>
      <c r="K317" s="97">
        <f t="shared" si="73"/>
        <v>16918</v>
      </c>
      <c r="L317" s="97">
        <f t="shared" si="74"/>
        <v>-1386</v>
      </c>
      <c r="M317" s="97" t="str">
        <f t="shared" si="75"/>
        <v>loss</v>
      </c>
      <c r="N317" s="100" t="b">
        <f t="shared" si="76"/>
        <v>0</v>
      </c>
    </row>
    <row r="318" spans="1:35" x14ac:dyDescent="0.3">
      <c r="A318" s="99">
        <v>45394</v>
      </c>
      <c r="B318" s="97" t="s">
        <v>228</v>
      </c>
      <c r="C318" s="19" t="s">
        <v>139</v>
      </c>
      <c r="D318" s="97" t="s">
        <v>140</v>
      </c>
      <c r="E318" s="97" t="s">
        <v>133</v>
      </c>
      <c r="F318" s="97" t="s">
        <v>112</v>
      </c>
      <c r="G318" s="97">
        <v>28</v>
      </c>
      <c r="H318" s="97">
        <v>832</v>
      </c>
      <c r="I318" s="97">
        <v>1028</v>
      </c>
      <c r="J318" s="97">
        <f t="shared" si="72"/>
        <v>23296</v>
      </c>
      <c r="K318" s="97">
        <f t="shared" si="73"/>
        <v>28784</v>
      </c>
      <c r="L318" s="97">
        <f t="shared" si="74"/>
        <v>5488</v>
      </c>
      <c r="M318" s="97" t="str">
        <f t="shared" si="75"/>
        <v>profit</v>
      </c>
      <c r="N318" s="100" t="b">
        <f t="shared" si="76"/>
        <v>1</v>
      </c>
    </row>
    <row r="319" spans="1:35" x14ac:dyDescent="0.3">
      <c r="A319" s="99">
        <v>45396</v>
      </c>
      <c r="B319" s="97" t="s">
        <v>229</v>
      </c>
      <c r="C319" s="19" t="s">
        <v>139</v>
      </c>
      <c r="D319" s="97" t="s">
        <v>140</v>
      </c>
      <c r="E319" s="97" t="s">
        <v>122</v>
      </c>
      <c r="F319" s="97" t="s">
        <v>112</v>
      </c>
      <c r="G319" s="97">
        <v>22</v>
      </c>
      <c r="H319" s="97">
        <v>622</v>
      </c>
      <c r="I319" s="97">
        <v>822</v>
      </c>
      <c r="J319" s="97">
        <f t="shared" si="72"/>
        <v>13684</v>
      </c>
      <c r="K319" s="97">
        <f t="shared" si="73"/>
        <v>18084</v>
      </c>
      <c r="L319" s="97">
        <f t="shared" si="74"/>
        <v>4400</v>
      </c>
      <c r="M319" s="97" t="str">
        <f t="shared" si="75"/>
        <v>profit</v>
      </c>
      <c r="N319" s="100" t="b">
        <f t="shared" si="76"/>
        <v>0</v>
      </c>
    </row>
    <row r="320" spans="1:35" x14ac:dyDescent="0.3">
      <c r="A320" s="99">
        <v>45702</v>
      </c>
      <c r="B320" s="97" t="s">
        <v>337</v>
      </c>
      <c r="C320" s="19" t="s">
        <v>127</v>
      </c>
      <c r="D320" s="97" t="s">
        <v>186</v>
      </c>
      <c r="E320" s="97" t="s">
        <v>155</v>
      </c>
      <c r="F320" s="97" t="s">
        <v>112</v>
      </c>
      <c r="G320" s="97">
        <v>55</v>
      </c>
      <c r="H320" s="97">
        <v>856</v>
      </c>
      <c r="I320" s="97">
        <v>756</v>
      </c>
      <c r="J320" s="97">
        <f t="shared" si="72"/>
        <v>47080</v>
      </c>
      <c r="K320" s="97">
        <f t="shared" si="73"/>
        <v>41580</v>
      </c>
      <c r="L320" s="97">
        <f t="shared" si="74"/>
        <v>-5500</v>
      </c>
      <c r="M320" s="97" t="str">
        <f t="shared" si="75"/>
        <v>loss</v>
      </c>
      <c r="N320" s="100" t="b">
        <f t="shared" si="76"/>
        <v>0</v>
      </c>
    </row>
    <row r="321" spans="1:14" x14ac:dyDescent="0.3">
      <c r="A321" s="99">
        <v>45404</v>
      </c>
      <c r="B321" s="97" t="s">
        <v>231</v>
      </c>
      <c r="C321" s="19" t="s">
        <v>139</v>
      </c>
      <c r="D321" s="97" t="s">
        <v>154</v>
      </c>
      <c r="E321" s="97" t="s">
        <v>133</v>
      </c>
      <c r="F321" s="97" t="s">
        <v>123</v>
      </c>
      <c r="G321" s="97">
        <v>23</v>
      </c>
      <c r="H321" s="97">
        <v>663</v>
      </c>
      <c r="I321" s="97">
        <v>1153</v>
      </c>
      <c r="J321" s="97">
        <f t="shared" ref="J321:J384" si="82">G321*H321</f>
        <v>15249</v>
      </c>
      <c r="K321" s="97">
        <f t="shared" ref="K321:K384" si="83">G321*I321</f>
        <v>26519</v>
      </c>
      <c r="L321" s="97">
        <f t="shared" ref="L321:L384" si="84">K321-J321</f>
        <v>11270</v>
      </c>
      <c r="M321" s="97" t="str">
        <f t="shared" si="75"/>
        <v>profit</v>
      </c>
      <c r="N321" s="100" t="b">
        <f t="shared" si="76"/>
        <v>0</v>
      </c>
    </row>
    <row r="322" spans="1:14" x14ac:dyDescent="0.3">
      <c r="A322" s="99">
        <v>45406</v>
      </c>
      <c r="B322" s="97" t="s">
        <v>233</v>
      </c>
      <c r="C322" s="19" t="s">
        <v>139</v>
      </c>
      <c r="D322" s="97" t="s">
        <v>154</v>
      </c>
      <c r="E322" s="97" t="s">
        <v>155</v>
      </c>
      <c r="F322" s="97" t="s">
        <v>123</v>
      </c>
      <c r="G322" s="97">
        <v>23</v>
      </c>
      <c r="H322" s="97">
        <v>779</v>
      </c>
      <c r="I322" s="97">
        <v>1415</v>
      </c>
      <c r="J322" s="97">
        <f t="shared" si="82"/>
        <v>17917</v>
      </c>
      <c r="K322" s="97">
        <f t="shared" si="83"/>
        <v>32545</v>
      </c>
      <c r="L322" s="97">
        <f t="shared" si="84"/>
        <v>14628</v>
      </c>
      <c r="M322" s="97" t="str">
        <f t="shared" ref="M322:M385" si="85">IF(L322&gt;0,"profit","loss")</f>
        <v>profit</v>
      </c>
      <c r="N322" s="100" t="b">
        <f t="shared" ref="N322:N385" si="86">AND(L322&gt;0,J322&gt;20000)</f>
        <v>0</v>
      </c>
    </row>
    <row r="323" spans="1:14" x14ac:dyDescent="0.3">
      <c r="A323" s="99">
        <v>45408</v>
      </c>
      <c r="B323" s="97" t="s">
        <v>235</v>
      </c>
      <c r="C323" s="19" t="s">
        <v>139</v>
      </c>
      <c r="D323" s="97" t="s">
        <v>154</v>
      </c>
      <c r="E323" s="97" t="s">
        <v>133</v>
      </c>
      <c r="F323" s="97" t="s">
        <v>112</v>
      </c>
      <c r="G323" s="97">
        <v>29</v>
      </c>
      <c r="H323" s="97">
        <v>952</v>
      </c>
      <c r="I323" s="97">
        <v>1428</v>
      </c>
      <c r="J323" s="97">
        <f t="shared" si="82"/>
        <v>27608</v>
      </c>
      <c r="K323" s="97">
        <f t="shared" si="83"/>
        <v>41412</v>
      </c>
      <c r="L323" s="97">
        <f t="shared" si="84"/>
        <v>13804</v>
      </c>
      <c r="M323" s="97" t="str">
        <f t="shared" si="85"/>
        <v>profit</v>
      </c>
      <c r="N323" s="100" t="b">
        <f t="shared" si="86"/>
        <v>1</v>
      </c>
    </row>
    <row r="324" spans="1:14" x14ac:dyDescent="0.3">
      <c r="A324" s="99">
        <v>45409</v>
      </c>
      <c r="B324" s="97" t="s">
        <v>236</v>
      </c>
      <c r="C324" s="19" t="s">
        <v>139</v>
      </c>
      <c r="D324" s="97" t="s">
        <v>154</v>
      </c>
      <c r="E324" s="97" t="s">
        <v>125</v>
      </c>
      <c r="F324" s="97" t="s">
        <v>112</v>
      </c>
      <c r="G324" s="97">
        <v>26</v>
      </c>
      <c r="H324" s="97">
        <v>983</v>
      </c>
      <c r="I324" s="97">
        <v>1270</v>
      </c>
      <c r="J324" s="97">
        <f t="shared" si="82"/>
        <v>25558</v>
      </c>
      <c r="K324" s="97">
        <f t="shared" si="83"/>
        <v>33020</v>
      </c>
      <c r="L324" s="97">
        <f t="shared" si="84"/>
        <v>7462</v>
      </c>
      <c r="M324" s="97" t="str">
        <f t="shared" si="85"/>
        <v>profit</v>
      </c>
      <c r="N324" s="100" t="b">
        <f t="shared" si="86"/>
        <v>1</v>
      </c>
    </row>
    <row r="325" spans="1:14" x14ac:dyDescent="0.3">
      <c r="A325" s="99">
        <v>45410</v>
      </c>
      <c r="B325" s="97" t="s">
        <v>237</v>
      </c>
      <c r="C325" s="19" t="s">
        <v>139</v>
      </c>
      <c r="D325" s="97" t="s">
        <v>154</v>
      </c>
      <c r="E325" s="97" t="s">
        <v>200</v>
      </c>
      <c r="F325" s="97" t="s">
        <v>112</v>
      </c>
      <c r="G325" s="97">
        <v>28</v>
      </c>
      <c r="H325" s="97">
        <v>814</v>
      </c>
      <c r="I325" s="97">
        <v>1343</v>
      </c>
      <c r="J325" s="97">
        <f t="shared" si="82"/>
        <v>22792</v>
      </c>
      <c r="K325" s="97">
        <f t="shared" si="83"/>
        <v>37604</v>
      </c>
      <c r="L325" s="97">
        <f t="shared" si="84"/>
        <v>14812</v>
      </c>
      <c r="M325" s="97" t="str">
        <f t="shared" si="85"/>
        <v>profit</v>
      </c>
      <c r="N325" s="100" t="b">
        <f t="shared" si="86"/>
        <v>1</v>
      </c>
    </row>
    <row r="326" spans="1:14" x14ac:dyDescent="0.3">
      <c r="A326" s="99">
        <v>45411</v>
      </c>
      <c r="B326" s="97" t="s">
        <v>238</v>
      </c>
      <c r="C326" s="19" t="s">
        <v>139</v>
      </c>
      <c r="D326" s="97" t="s">
        <v>154</v>
      </c>
      <c r="E326" s="97" t="s">
        <v>137</v>
      </c>
      <c r="F326" s="97" t="s">
        <v>112</v>
      </c>
      <c r="G326" s="97">
        <v>26</v>
      </c>
      <c r="H326" s="97">
        <v>835</v>
      </c>
      <c r="I326" s="97">
        <v>973</v>
      </c>
      <c r="J326" s="97">
        <f t="shared" si="82"/>
        <v>21710</v>
      </c>
      <c r="K326" s="97">
        <f t="shared" si="83"/>
        <v>25298</v>
      </c>
      <c r="L326" s="97">
        <f t="shared" si="84"/>
        <v>3588</v>
      </c>
      <c r="M326" s="97" t="str">
        <f t="shared" si="85"/>
        <v>profit</v>
      </c>
      <c r="N326" s="100" t="b">
        <f t="shared" si="86"/>
        <v>1</v>
      </c>
    </row>
    <row r="327" spans="1:14" x14ac:dyDescent="0.3">
      <c r="A327" s="99">
        <v>45709</v>
      </c>
      <c r="B327" s="97" t="s">
        <v>338</v>
      </c>
      <c r="C327" s="19" t="s">
        <v>127</v>
      </c>
      <c r="D327" s="97" t="s">
        <v>186</v>
      </c>
      <c r="E327" s="97" t="s">
        <v>240</v>
      </c>
      <c r="F327" s="97" t="s">
        <v>123</v>
      </c>
      <c r="G327" s="97">
        <v>88</v>
      </c>
      <c r="H327" s="97">
        <v>635</v>
      </c>
      <c r="I327" s="97">
        <v>1370</v>
      </c>
      <c r="J327" s="97">
        <f t="shared" si="82"/>
        <v>55880</v>
      </c>
      <c r="K327" s="97">
        <f t="shared" si="83"/>
        <v>120560</v>
      </c>
      <c r="L327" s="97">
        <f t="shared" si="84"/>
        <v>64680</v>
      </c>
      <c r="M327" s="97" t="str">
        <f t="shared" si="85"/>
        <v>profit</v>
      </c>
      <c r="N327" s="100" t="b">
        <f t="shared" si="86"/>
        <v>1</v>
      </c>
    </row>
    <row r="328" spans="1:14" x14ac:dyDescent="0.3">
      <c r="A328" s="99">
        <v>45412</v>
      </c>
      <c r="B328" s="97" t="s">
        <v>239</v>
      </c>
      <c r="C328" s="19" t="s">
        <v>139</v>
      </c>
      <c r="D328" s="97" t="s">
        <v>154</v>
      </c>
      <c r="E328" s="97" t="s">
        <v>240</v>
      </c>
      <c r="F328" s="97" t="s">
        <v>112</v>
      </c>
      <c r="G328" s="97">
        <v>24</v>
      </c>
      <c r="H328" s="97">
        <v>631</v>
      </c>
      <c r="I328" s="97">
        <v>1304</v>
      </c>
      <c r="J328" s="97">
        <f t="shared" si="82"/>
        <v>15144</v>
      </c>
      <c r="K328" s="97">
        <f t="shared" si="83"/>
        <v>31296</v>
      </c>
      <c r="L328" s="97">
        <f t="shared" si="84"/>
        <v>16152</v>
      </c>
      <c r="M328" s="97" t="str">
        <f t="shared" si="85"/>
        <v>profit</v>
      </c>
      <c r="N328" s="100" t="b">
        <f t="shared" si="86"/>
        <v>0</v>
      </c>
    </row>
    <row r="329" spans="1:14" x14ac:dyDescent="0.3">
      <c r="A329" s="99">
        <v>45413</v>
      </c>
      <c r="B329" s="97" t="s">
        <v>241</v>
      </c>
      <c r="C329" s="19" t="s">
        <v>139</v>
      </c>
      <c r="D329" s="97" t="s">
        <v>154</v>
      </c>
      <c r="E329" s="97" t="s">
        <v>242</v>
      </c>
      <c r="F329" s="97" t="s">
        <v>112</v>
      </c>
      <c r="G329" s="97">
        <v>24</v>
      </c>
      <c r="H329" s="97">
        <v>833</v>
      </c>
      <c r="I329" s="97">
        <v>1280</v>
      </c>
      <c r="J329" s="97">
        <f t="shared" si="82"/>
        <v>19992</v>
      </c>
      <c r="K329" s="97">
        <f t="shared" si="83"/>
        <v>30720</v>
      </c>
      <c r="L329" s="97">
        <f t="shared" si="84"/>
        <v>10728</v>
      </c>
      <c r="M329" s="97" t="str">
        <f t="shared" si="85"/>
        <v>profit</v>
      </c>
      <c r="N329" s="100" t="b">
        <f t="shared" si="86"/>
        <v>0</v>
      </c>
    </row>
    <row r="330" spans="1:14" x14ac:dyDescent="0.3">
      <c r="A330" s="99">
        <v>45414</v>
      </c>
      <c r="B330" s="97" t="s">
        <v>243</v>
      </c>
      <c r="C330" s="19" t="s">
        <v>139</v>
      </c>
      <c r="D330" s="97" t="s">
        <v>154</v>
      </c>
      <c r="E330" s="97" t="s">
        <v>111</v>
      </c>
      <c r="F330" s="97" t="s">
        <v>123</v>
      </c>
      <c r="G330" s="97">
        <v>21</v>
      </c>
      <c r="H330" s="97">
        <v>680</v>
      </c>
      <c r="I330" s="97">
        <v>1049</v>
      </c>
      <c r="J330" s="97">
        <f t="shared" si="82"/>
        <v>14280</v>
      </c>
      <c r="K330" s="97">
        <f t="shared" si="83"/>
        <v>22029</v>
      </c>
      <c r="L330" s="97">
        <f t="shared" si="84"/>
        <v>7749</v>
      </c>
      <c r="M330" s="97" t="str">
        <f t="shared" si="85"/>
        <v>profit</v>
      </c>
      <c r="N330" s="100" t="b">
        <f t="shared" si="86"/>
        <v>0</v>
      </c>
    </row>
    <row r="331" spans="1:14" x14ac:dyDescent="0.3">
      <c r="A331" s="99">
        <v>45415</v>
      </c>
      <c r="B331" s="97" t="s">
        <v>244</v>
      </c>
      <c r="C331" s="19" t="s">
        <v>139</v>
      </c>
      <c r="D331" s="97" t="s">
        <v>154</v>
      </c>
      <c r="E331" s="97" t="s">
        <v>115</v>
      </c>
      <c r="F331" s="97" t="s">
        <v>123</v>
      </c>
      <c r="G331" s="97">
        <v>23</v>
      </c>
      <c r="H331" s="97">
        <v>667</v>
      </c>
      <c r="I331" s="97">
        <v>962</v>
      </c>
      <c r="J331" s="97">
        <f t="shared" si="82"/>
        <v>15341</v>
      </c>
      <c r="K331" s="97">
        <f t="shared" si="83"/>
        <v>22126</v>
      </c>
      <c r="L331" s="97">
        <f t="shared" si="84"/>
        <v>6785</v>
      </c>
      <c r="M331" s="97" t="str">
        <f t="shared" si="85"/>
        <v>profit</v>
      </c>
      <c r="N331" s="100" t="b">
        <f t="shared" si="86"/>
        <v>0</v>
      </c>
    </row>
    <row r="332" spans="1:14" x14ac:dyDescent="0.3">
      <c r="A332" s="99">
        <v>45416</v>
      </c>
      <c r="B332" s="97" t="s">
        <v>245</v>
      </c>
      <c r="C332" s="19" t="s">
        <v>139</v>
      </c>
      <c r="D332" s="97" t="s">
        <v>154</v>
      </c>
      <c r="E332" s="97" t="s">
        <v>118</v>
      </c>
      <c r="F332" s="97" t="s">
        <v>123</v>
      </c>
      <c r="G332" s="97">
        <v>24</v>
      </c>
      <c r="H332" s="97">
        <v>504</v>
      </c>
      <c r="I332" s="97">
        <v>1283</v>
      </c>
      <c r="J332" s="97">
        <f t="shared" si="82"/>
        <v>12096</v>
      </c>
      <c r="K332" s="97">
        <f t="shared" si="83"/>
        <v>30792</v>
      </c>
      <c r="L332" s="97">
        <f t="shared" si="84"/>
        <v>18696</v>
      </c>
      <c r="M332" s="97" t="str">
        <f t="shared" si="85"/>
        <v>profit</v>
      </c>
      <c r="N332" s="100" t="b">
        <f t="shared" si="86"/>
        <v>0</v>
      </c>
    </row>
    <row r="333" spans="1:14" x14ac:dyDescent="0.3">
      <c r="A333" s="99">
        <v>45417</v>
      </c>
      <c r="B333" s="97" t="s">
        <v>246</v>
      </c>
      <c r="C333" s="19" t="s">
        <v>139</v>
      </c>
      <c r="D333" s="97" t="s">
        <v>154</v>
      </c>
      <c r="E333" s="97" t="s">
        <v>120</v>
      </c>
      <c r="F333" s="97" t="s">
        <v>123</v>
      </c>
      <c r="G333" s="97">
        <v>26</v>
      </c>
      <c r="H333" s="97">
        <v>985</v>
      </c>
      <c r="I333" s="97">
        <v>1407</v>
      </c>
      <c r="J333" s="97">
        <f t="shared" si="82"/>
        <v>25610</v>
      </c>
      <c r="K333" s="97" t="s">
        <v>340</v>
      </c>
      <c r="L333" s="97" t="e">
        <f t="shared" si="84"/>
        <v>#VALUE!</v>
      </c>
      <c r="M333" s="97" t="e">
        <f t="shared" si="85"/>
        <v>#VALUE!</v>
      </c>
      <c r="N333" s="100" t="e">
        <f t="shared" si="86"/>
        <v>#VALUE!</v>
      </c>
    </row>
    <row r="334" spans="1:14" x14ac:dyDescent="0.3">
      <c r="A334" s="99">
        <v>45418</v>
      </c>
      <c r="B334" s="97" t="s">
        <v>247</v>
      </c>
      <c r="C334" s="19" t="s">
        <v>139</v>
      </c>
      <c r="D334" s="97" t="s">
        <v>154</v>
      </c>
      <c r="E334" s="97" t="s">
        <v>120</v>
      </c>
      <c r="F334" s="97" t="s">
        <v>112</v>
      </c>
      <c r="G334" s="97">
        <v>27</v>
      </c>
      <c r="H334" s="97">
        <v>890</v>
      </c>
      <c r="I334" s="97">
        <v>853</v>
      </c>
      <c r="J334" s="97">
        <f t="shared" si="82"/>
        <v>24030</v>
      </c>
      <c r="K334" s="97">
        <f t="shared" si="83"/>
        <v>23031</v>
      </c>
      <c r="L334" s="97">
        <f t="shared" si="84"/>
        <v>-999</v>
      </c>
      <c r="M334" s="97" t="str">
        <f t="shared" si="85"/>
        <v>loss</v>
      </c>
      <c r="N334" s="100" t="b">
        <f t="shared" si="86"/>
        <v>0</v>
      </c>
    </row>
    <row r="335" spans="1:14" x14ac:dyDescent="0.3">
      <c r="A335" s="99">
        <v>45419</v>
      </c>
      <c r="B335" s="97" t="s">
        <v>250</v>
      </c>
      <c r="C335" s="19" t="s">
        <v>139</v>
      </c>
      <c r="D335" s="97" t="s">
        <v>205</v>
      </c>
      <c r="E335" s="97" t="s">
        <v>122</v>
      </c>
      <c r="F335" s="97" t="s">
        <v>112</v>
      </c>
      <c r="G335" s="97">
        <v>21</v>
      </c>
      <c r="H335" s="97">
        <v>722</v>
      </c>
      <c r="I335" s="97">
        <v>1247</v>
      </c>
      <c r="J335" s="97">
        <f t="shared" si="82"/>
        <v>15162</v>
      </c>
      <c r="K335" s="97">
        <f t="shared" si="83"/>
        <v>26187</v>
      </c>
      <c r="L335" s="97">
        <f t="shared" si="84"/>
        <v>11025</v>
      </c>
      <c r="M335" s="97" t="str">
        <f t="shared" si="85"/>
        <v>profit</v>
      </c>
      <c r="N335" s="100" t="b">
        <f t="shared" si="86"/>
        <v>0</v>
      </c>
    </row>
    <row r="336" spans="1:14" x14ac:dyDescent="0.3">
      <c r="A336" s="99">
        <v>45420</v>
      </c>
      <c r="B336" s="97" t="s">
        <v>251</v>
      </c>
      <c r="C336" s="19" t="s">
        <v>139</v>
      </c>
      <c r="D336" s="97" t="s">
        <v>205</v>
      </c>
      <c r="E336" s="97" t="s">
        <v>125</v>
      </c>
      <c r="F336" s="97" t="s">
        <v>112</v>
      </c>
      <c r="G336" s="97">
        <v>22</v>
      </c>
      <c r="H336" s="97">
        <v>725</v>
      </c>
      <c r="I336" s="97">
        <v>765</v>
      </c>
      <c r="J336" s="97">
        <f t="shared" si="82"/>
        <v>15950</v>
      </c>
      <c r="K336" s="97">
        <f t="shared" si="83"/>
        <v>16830</v>
      </c>
      <c r="L336" s="97">
        <f t="shared" si="84"/>
        <v>880</v>
      </c>
      <c r="M336" s="97" t="str">
        <f t="shared" si="85"/>
        <v>profit</v>
      </c>
      <c r="N336" s="100" t="b">
        <f t="shared" si="86"/>
        <v>0</v>
      </c>
    </row>
    <row r="337" spans="1:14" x14ac:dyDescent="0.3">
      <c r="A337" s="99">
        <v>45421</v>
      </c>
      <c r="B337" s="97" t="s">
        <v>253</v>
      </c>
      <c r="C337" s="19" t="s">
        <v>139</v>
      </c>
      <c r="D337" s="97" t="s">
        <v>205</v>
      </c>
      <c r="E337" s="97" t="s">
        <v>120</v>
      </c>
      <c r="F337" s="97" t="s">
        <v>112</v>
      </c>
      <c r="G337" s="97">
        <v>26</v>
      </c>
      <c r="H337" s="97">
        <v>509</v>
      </c>
      <c r="I337" s="97">
        <v>1120</v>
      </c>
      <c r="J337" s="97">
        <f t="shared" si="82"/>
        <v>13234</v>
      </c>
      <c r="K337" s="97">
        <f t="shared" si="83"/>
        <v>29120</v>
      </c>
      <c r="L337" s="97">
        <f t="shared" si="84"/>
        <v>15886</v>
      </c>
      <c r="M337" s="97" t="str">
        <f t="shared" si="85"/>
        <v>profit</v>
      </c>
      <c r="N337" s="100" t="b">
        <f t="shared" si="86"/>
        <v>0</v>
      </c>
    </row>
    <row r="338" spans="1:14" x14ac:dyDescent="0.3">
      <c r="A338" s="99">
        <v>45389</v>
      </c>
      <c r="B338" s="97" t="s">
        <v>126</v>
      </c>
      <c r="C338" s="19" t="s">
        <v>127</v>
      </c>
      <c r="D338" s="97" t="s">
        <v>128</v>
      </c>
      <c r="E338" s="97" t="s">
        <v>129</v>
      </c>
      <c r="F338" s="97" t="s">
        <v>123</v>
      </c>
      <c r="G338" s="97">
        <v>55</v>
      </c>
      <c r="H338" s="97">
        <v>906</v>
      </c>
      <c r="I338" s="97">
        <v>880</v>
      </c>
      <c r="J338" s="97">
        <f t="shared" si="82"/>
        <v>49830</v>
      </c>
      <c r="K338" s="97">
        <f t="shared" si="83"/>
        <v>48400</v>
      </c>
      <c r="L338" s="97">
        <f t="shared" si="84"/>
        <v>-1430</v>
      </c>
      <c r="M338" s="97" t="str">
        <f t="shared" si="85"/>
        <v>loss</v>
      </c>
      <c r="N338" s="100" t="b">
        <f t="shared" si="86"/>
        <v>0</v>
      </c>
    </row>
    <row r="339" spans="1:14" x14ac:dyDescent="0.3">
      <c r="A339" s="99">
        <v>45422</v>
      </c>
      <c r="B339" s="97" t="s">
        <v>254</v>
      </c>
      <c r="C339" s="19" t="s">
        <v>139</v>
      </c>
      <c r="D339" s="97" t="s">
        <v>205</v>
      </c>
      <c r="E339" s="97" t="s">
        <v>166</v>
      </c>
      <c r="F339" s="97" t="s">
        <v>112</v>
      </c>
      <c r="G339" s="97">
        <v>28</v>
      </c>
      <c r="H339" s="97">
        <v>905</v>
      </c>
      <c r="I339" s="97">
        <v>958</v>
      </c>
      <c r="J339" s="97">
        <f t="shared" si="82"/>
        <v>25340</v>
      </c>
      <c r="K339" s="97">
        <f t="shared" si="83"/>
        <v>26824</v>
      </c>
      <c r="L339" s="97">
        <f t="shared" si="84"/>
        <v>1484</v>
      </c>
      <c r="M339" s="97" t="str">
        <f t="shared" si="85"/>
        <v>profit</v>
      </c>
      <c r="N339" s="100" t="b">
        <f t="shared" si="86"/>
        <v>1</v>
      </c>
    </row>
    <row r="340" spans="1:14" x14ac:dyDescent="0.3">
      <c r="A340" s="99">
        <v>45423</v>
      </c>
      <c r="B340" s="97" t="s">
        <v>255</v>
      </c>
      <c r="C340" s="19" t="s">
        <v>139</v>
      </c>
      <c r="D340" s="97" t="s">
        <v>205</v>
      </c>
      <c r="E340" s="97" t="s">
        <v>161</v>
      </c>
      <c r="F340" s="97" t="s">
        <v>112</v>
      </c>
      <c r="G340" s="97">
        <v>22</v>
      </c>
      <c r="H340" s="97">
        <v>866</v>
      </c>
      <c r="I340" s="97">
        <v>1453</v>
      </c>
      <c r="J340" s="97">
        <f t="shared" si="82"/>
        <v>19052</v>
      </c>
      <c r="K340" s="97">
        <f t="shared" si="83"/>
        <v>31966</v>
      </c>
      <c r="L340" s="97">
        <f t="shared" si="84"/>
        <v>12914</v>
      </c>
      <c r="M340" s="97" t="str">
        <f t="shared" si="85"/>
        <v>profit</v>
      </c>
      <c r="N340" s="100" t="b">
        <f t="shared" si="86"/>
        <v>0</v>
      </c>
    </row>
    <row r="341" spans="1:14" x14ac:dyDescent="0.3">
      <c r="A341" s="99">
        <v>45424</v>
      </c>
      <c r="B341" s="97" t="s">
        <v>256</v>
      </c>
      <c r="C341" s="19" t="s">
        <v>139</v>
      </c>
      <c r="D341" s="97" t="s">
        <v>205</v>
      </c>
      <c r="E341" s="97" t="s">
        <v>137</v>
      </c>
      <c r="F341" s="97" t="s">
        <v>112</v>
      </c>
      <c r="G341" s="97">
        <v>23</v>
      </c>
      <c r="H341" s="97">
        <v>816</v>
      </c>
      <c r="I341" s="97">
        <v>1273</v>
      </c>
      <c r="J341" s="97">
        <f t="shared" si="82"/>
        <v>18768</v>
      </c>
      <c r="K341" s="97">
        <f t="shared" si="83"/>
        <v>29279</v>
      </c>
      <c r="L341" s="97">
        <f t="shared" si="84"/>
        <v>10511</v>
      </c>
      <c r="M341" s="97" t="str">
        <f t="shared" si="85"/>
        <v>profit</v>
      </c>
      <c r="N341" s="100" t="b">
        <f t="shared" si="86"/>
        <v>0</v>
      </c>
    </row>
    <row r="342" spans="1:14" x14ac:dyDescent="0.3">
      <c r="A342" s="99">
        <v>45425</v>
      </c>
      <c r="B342" s="97" t="s">
        <v>258</v>
      </c>
      <c r="C342" s="19" t="s">
        <v>139</v>
      </c>
      <c r="D342" s="97" t="s">
        <v>205</v>
      </c>
      <c r="E342" s="97" t="s">
        <v>120</v>
      </c>
      <c r="F342" s="97" t="s">
        <v>112</v>
      </c>
      <c r="G342" s="97">
        <v>30</v>
      </c>
      <c r="H342" s="97">
        <v>738</v>
      </c>
      <c r="I342" s="97">
        <v>1216</v>
      </c>
      <c r="J342" s="97">
        <f t="shared" si="82"/>
        <v>22140</v>
      </c>
      <c r="K342" s="97">
        <f t="shared" si="83"/>
        <v>36480</v>
      </c>
      <c r="L342" s="97">
        <f t="shared" si="84"/>
        <v>14340</v>
      </c>
      <c r="M342" s="97" t="str">
        <f t="shared" si="85"/>
        <v>profit</v>
      </c>
      <c r="N342" s="100" t="b">
        <f t="shared" si="86"/>
        <v>1</v>
      </c>
    </row>
    <row r="343" spans="1:14" x14ac:dyDescent="0.3">
      <c r="A343" s="99">
        <v>45426</v>
      </c>
      <c r="B343" s="97" t="s">
        <v>259</v>
      </c>
      <c r="C343" s="19" t="s">
        <v>139</v>
      </c>
      <c r="D343" s="97" t="s">
        <v>205</v>
      </c>
      <c r="E343" s="97" t="s">
        <v>155</v>
      </c>
      <c r="F343" s="97" t="s">
        <v>112</v>
      </c>
      <c r="G343" s="97">
        <v>24</v>
      </c>
      <c r="H343" s="97">
        <v>653</v>
      </c>
      <c r="I343" s="97">
        <v>1293</v>
      </c>
      <c r="J343" s="97">
        <f t="shared" si="82"/>
        <v>15672</v>
      </c>
      <c r="K343" s="97">
        <f t="shared" si="83"/>
        <v>31032</v>
      </c>
      <c r="L343" s="97">
        <f t="shared" si="84"/>
        <v>15360</v>
      </c>
      <c r="M343" s="97" t="str">
        <f t="shared" si="85"/>
        <v>profit</v>
      </c>
      <c r="N343" s="100" t="b">
        <f t="shared" si="86"/>
        <v>0</v>
      </c>
    </row>
    <row r="344" spans="1:14" x14ac:dyDescent="0.3">
      <c r="A344" s="99">
        <v>45395</v>
      </c>
      <c r="B344" s="97" t="s">
        <v>138</v>
      </c>
      <c r="C344" s="19" t="s">
        <v>139</v>
      </c>
      <c r="D344" s="97" t="s">
        <v>140</v>
      </c>
      <c r="E344" s="97" t="s">
        <v>137</v>
      </c>
      <c r="F344" s="97" t="s">
        <v>112</v>
      </c>
      <c r="G344" s="97">
        <v>22</v>
      </c>
      <c r="H344" s="97">
        <v>692</v>
      </c>
      <c r="I344" s="97">
        <v>906</v>
      </c>
      <c r="J344" s="97">
        <f t="shared" si="82"/>
        <v>15224</v>
      </c>
      <c r="K344" s="97">
        <f t="shared" si="83"/>
        <v>19932</v>
      </c>
      <c r="L344" s="97">
        <f t="shared" si="84"/>
        <v>4708</v>
      </c>
      <c r="M344" s="97" t="str">
        <f t="shared" si="85"/>
        <v>profit</v>
      </c>
      <c r="N344" s="100" t="b">
        <f t="shared" si="86"/>
        <v>0</v>
      </c>
    </row>
    <row r="345" spans="1:14" x14ac:dyDescent="0.3">
      <c r="A345" s="99">
        <v>45427</v>
      </c>
      <c r="B345" s="97" t="s">
        <v>260</v>
      </c>
      <c r="C345" s="19" t="s">
        <v>139</v>
      </c>
      <c r="D345" s="97" t="s">
        <v>205</v>
      </c>
      <c r="E345" s="97" t="s">
        <v>166</v>
      </c>
      <c r="F345" s="97" t="s">
        <v>112</v>
      </c>
      <c r="G345" s="97">
        <v>30</v>
      </c>
      <c r="H345" s="97">
        <v>583</v>
      </c>
      <c r="I345" s="97">
        <v>1500</v>
      </c>
      <c r="J345" s="97">
        <f t="shared" si="82"/>
        <v>17490</v>
      </c>
      <c r="K345" s="97">
        <f t="shared" si="83"/>
        <v>45000</v>
      </c>
      <c r="L345" s="97">
        <f t="shared" si="84"/>
        <v>27510</v>
      </c>
      <c r="M345" s="97" t="str">
        <f t="shared" si="85"/>
        <v>profit</v>
      </c>
      <c r="N345" s="100" t="b">
        <f t="shared" si="86"/>
        <v>0</v>
      </c>
    </row>
    <row r="346" spans="1:14" x14ac:dyDescent="0.3">
      <c r="A346" s="99">
        <v>45428</v>
      </c>
      <c r="B346" s="97" t="s">
        <v>262</v>
      </c>
      <c r="C346" s="19" t="s">
        <v>139</v>
      </c>
      <c r="D346" s="97" t="s">
        <v>205</v>
      </c>
      <c r="E346" s="97" t="s">
        <v>168</v>
      </c>
      <c r="F346" s="97" t="s">
        <v>123</v>
      </c>
      <c r="G346" s="97">
        <v>26</v>
      </c>
      <c r="H346" s="97">
        <v>1000</v>
      </c>
      <c r="I346" s="97">
        <v>765</v>
      </c>
      <c r="J346" s="97">
        <f t="shared" si="82"/>
        <v>26000</v>
      </c>
      <c r="K346" s="97">
        <f t="shared" si="83"/>
        <v>19890</v>
      </c>
      <c r="L346" s="97">
        <f t="shared" si="84"/>
        <v>-6110</v>
      </c>
      <c r="M346" s="97" t="str">
        <f t="shared" si="85"/>
        <v>loss</v>
      </c>
      <c r="N346" s="100" t="b">
        <f t="shared" si="86"/>
        <v>0</v>
      </c>
    </row>
    <row r="347" spans="1:14" x14ac:dyDescent="0.3">
      <c r="A347" s="99">
        <v>45429</v>
      </c>
      <c r="B347" s="97" t="s">
        <v>264</v>
      </c>
      <c r="C347" s="19" t="s">
        <v>139</v>
      </c>
      <c r="D347" s="97" t="s">
        <v>205</v>
      </c>
      <c r="E347" s="97" t="s">
        <v>129</v>
      </c>
      <c r="F347" s="97" t="s">
        <v>123</v>
      </c>
      <c r="G347" s="97">
        <v>27</v>
      </c>
      <c r="H347" s="97">
        <v>913</v>
      </c>
      <c r="I347" s="97">
        <v>1197</v>
      </c>
      <c r="J347" s="97">
        <f t="shared" si="82"/>
        <v>24651</v>
      </c>
      <c r="K347" s="97">
        <f t="shared" si="83"/>
        <v>32319</v>
      </c>
      <c r="L347" s="97">
        <f t="shared" si="84"/>
        <v>7668</v>
      </c>
      <c r="M347" s="97" t="str">
        <f t="shared" si="85"/>
        <v>profit</v>
      </c>
      <c r="N347" s="100" t="b">
        <f t="shared" si="86"/>
        <v>1</v>
      </c>
    </row>
    <row r="348" spans="1:14" x14ac:dyDescent="0.3">
      <c r="A348" s="99">
        <v>45430</v>
      </c>
      <c r="B348" s="97" t="s">
        <v>265</v>
      </c>
      <c r="C348" s="19" t="s">
        <v>139</v>
      </c>
      <c r="D348" s="97" t="s">
        <v>205</v>
      </c>
      <c r="E348" s="97" t="s">
        <v>137</v>
      </c>
      <c r="F348" s="97" t="s">
        <v>123</v>
      </c>
      <c r="G348" s="97">
        <v>29</v>
      </c>
      <c r="H348" s="97">
        <v>735</v>
      </c>
      <c r="I348" s="97">
        <v>1388</v>
      </c>
      <c r="J348" s="97">
        <f t="shared" si="82"/>
        <v>21315</v>
      </c>
      <c r="K348" s="97">
        <f t="shared" si="83"/>
        <v>40252</v>
      </c>
      <c r="L348" s="97">
        <f t="shared" si="84"/>
        <v>18937</v>
      </c>
      <c r="M348" s="97" t="str">
        <f t="shared" si="85"/>
        <v>profit</v>
      </c>
      <c r="N348" s="100" t="b">
        <f t="shared" si="86"/>
        <v>1</v>
      </c>
    </row>
    <row r="349" spans="1:14" x14ac:dyDescent="0.3">
      <c r="A349" s="99">
        <v>45484</v>
      </c>
      <c r="B349" s="97" t="s">
        <v>266</v>
      </c>
      <c r="C349" s="19" t="s">
        <v>139</v>
      </c>
      <c r="D349" s="97" t="s">
        <v>205</v>
      </c>
      <c r="E349" s="97" t="s">
        <v>133</v>
      </c>
      <c r="F349" s="97" t="s">
        <v>123</v>
      </c>
      <c r="G349" s="97">
        <v>29</v>
      </c>
      <c r="H349" s="97">
        <v>965</v>
      </c>
      <c r="I349" s="97">
        <v>1195</v>
      </c>
      <c r="J349" s="97">
        <f t="shared" si="82"/>
        <v>27985</v>
      </c>
      <c r="K349" s="97">
        <f t="shared" si="83"/>
        <v>34655</v>
      </c>
      <c r="L349" s="97">
        <f t="shared" si="84"/>
        <v>6670</v>
      </c>
      <c r="M349" s="97" t="str">
        <f t="shared" si="85"/>
        <v>profit</v>
      </c>
      <c r="N349" s="100" t="b">
        <f t="shared" si="86"/>
        <v>1</v>
      </c>
    </row>
    <row r="350" spans="1:14" x14ac:dyDescent="0.3">
      <c r="A350" s="99">
        <v>45485</v>
      </c>
      <c r="B350" s="97" t="s">
        <v>267</v>
      </c>
      <c r="C350" s="19" t="s">
        <v>139</v>
      </c>
      <c r="D350" s="97" t="s">
        <v>205</v>
      </c>
      <c r="E350" s="97" t="s">
        <v>155</v>
      </c>
      <c r="F350" s="97" t="s">
        <v>123</v>
      </c>
      <c r="G350" s="97">
        <v>24</v>
      </c>
      <c r="H350" s="97">
        <v>970</v>
      </c>
      <c r="I350" s="97">
        <v>1256</v>
      </c>
      <c r="J350" s="97">
        <f t="shared" si="82"/>
        <v>23280</v>
      </c>
      <c r="K350" s="97">
        <f t="shared" si="83"/>
        <v>30144</v>
      </c>
      <c r="L350" s="97">
        <f t="shared" si="84"/>
        <v>6864</v>
      </c>
      <c r="M350" s="97" t="str">
        <f t="shared" si="85"/>
        <v>profit</v>
      </c>
      <c r="N350" s="100" t="b">
        <f t="shared" si="86"/>
        <v>1</v>
      </c>
    </row>
    <row r="351" spans="1:14" x14ac:dyDescent="0.3">
      <c r="A351" s="99">
        <v>45486</v>
      </c>
      <c r="B351" s="97" t="s">
        <v>268</v>
      </c>
      <c r="C351" s="19" t="s">
        <v>139</v>
      </c>
      <c r="D351" s="97" t="s">
        <v>205</v>
      </c>
      <c r="E351" s="97" t="s">
        <v>155</v>
      </c>
      <c r="F351" s="97" t="s">
        <v>123</v>
      </c>
      <c r="G351" s="97">
        <v>22</v>
      </c>
      <c r="H351" s="97">
        <v>974</v>
      </c>
      <c r="I351" s="97">
        <v>1329</v>
      </c>
      <c r="J351" s="97">
        <f t="shared" si="82"/>
        <v>21428</v>
      </c>
      <c r="K351" s="97">
        <f t="shared" si="83"/>
        <v>29238</v>
      </c>
      <c r="L351" s="97">
        <f t="shared" si="84"/>
        <v>7810</v>
      </c>
      <c r="M351" s="97" t="str">
        <f t="shared" si="85"/>
        <v>profit</v>
      </c>
      <c r="N351" s="100" t="b">
        <f t="shared" si="86"/>
        <v>1</v>
      </c>
    </row>
    <row r="352" spans="1:14" x14ac:dyDescent="0.3">
      <c r="A352" s="99">
        <v>45487</v>
      </c>
      <c r="B352" s="97" t="s">
        <v>269</v>
      </c>
      <c r="C352" s="19" t="s">
        <v>139</v>
      </c>
      <c r="D352" s="97" t="s">
        <v>205</v>
      </c>
      <c r="E352" s="97" t="s">
        <v>151</v>
      </c>
      <c r="F352" s="97" t="s">
        <v>123</v>
      </c>
      <c r="G352" s="97">
        <v>21</v>
      </c>
      <c r="H352" s="97">
        <v>915</v>
      </c>
      <c r="I352" s="97">
        <v>1442</v>
      </c>
      <c r="J352" s="97">
        <f t="shared" si="82"/>
        <v>19215</v>
      </c>
      <c r="K352" s="97">
        <f t="shared" si="83"/>
        <v>30282</v>
      </c>
      <c r="L352" s="97">
        <f t="shared" si="84"/>
        <v>11067</v>
      </c>
      <c r="M352" s="97" t="str">
        <f t="shared" si="85"/>
        <v>profit</v>
      </c>
      <c r="N352" s="100" t="b">
        <f t="shared" si="86"/>
        <v>0</v>
      </c>
    </row>
    <row r="353" spans="1:14" x14ac:dyDescent="0.3">
      <c r="A353" s="99">
        <v>45489</v>
      </c>
      <c r="B353" s="97" t="s">
        <v>270</v>
      </c>
      <c r="C353" s="19" t="s">
        <v>139</v>
      </c>
      <c r="D353" s="97" t="s">
        <v>205</v>
      </c>
      <c r="E353" s="97" t="s">
        <v>125</v>
      </c>
      <c r="F353" s="97" t="s">
        <v>112</v>
      </c>
      <c r="G353" s="97">
        <v>27</v>
      </c>
      <c r="H353" s="97">
        <v>605</v>
      </c>
      <c r="I353" s="97">
        <v>826</v>
      </c>
      <c r="J353" s="97">
        <f t="shared" si="82"/>
        <v>16335</v>
      </c>
      <c r="K353" s="97">
        <f t="shared" si="83"/>
        <v>22302</v>
      </c>
      <c r="L353" s="97">
        <f t="shared" si="84"/>
        <v>5967</v>
      </c>
      <c r="M353" s="97" t="str">
        <f t="shared" si="85"/>
        <v>profit</v>
      </c>
      <c r="N353" s="100" t="b">
        <f t="shared" si="86"/>
        <v>0</v>
      </c>
    </row>
    <row r="354" spans="1:14" x14ac:dyDescent="0.3">
      <c r="A354" s="99">
        <v>45405</v>
      </c>
      <c r="B354" s="97" t="s">
        <v>153</v>
      </c>
      <c r="C354" s="19" t="s">
        <v>139</v>
      </c>
      <c r="D354" s="97" t="s">
        <v>154</v>
      </c>
      <c r="E354" s="97" t="s">
        <v>155</v>
      </c>
      <c r="F354" s="97" t="s">
        <v>123</v>
      </c>
      <c r="G354" s="97">
        <v>29</v>
      </c>
      <c r="H354" s="97">
        <v>893</v>
      </c>
      <c r="I354" s="97">
        <v>865</v>
      </c>
      <c r="J354" s="97">
        <f t="shared" si="82"/>
        <v>25897</v>
      </c>
      <c r="K354" s="97">
        <f t="shared" si="83"/>
        <v>25085</v>
      </c>
      <c r="L354" s="97">
        <f t="shared" si="84"/>
        <v>-812</v>
      </c>
      <c r="M354" s="97" t="str">
        <f t="shared" si="85"/>
        <v>loss</v>
      </c>
      <c r="N354" s="100" t="b">
        <f t="shared" si="86"/>
        <v>0</v>
      </c>
    </row>
    <row r="355" spans="1:14" x14ac:dyDescent="0.3">
      <c r="A355" s="99">
        <v>45490</v>
      </c>
      <c r="B355" s="97" t="s">
        <v>271</v>
      </c>
      <c r="C355" s="19" t="s">
        <v>139</v>
      </c>
      <c r="D355" s="97" t="s">
        <v>205</v>
      </c>
      <c r="E355" s="97" t="s">
        <v>200</v>
      </c>
      <c r="F355" s="97" t="s">
        <v>112</v>
      </c>
      <c r="G355" s="97">
        <v>29</v>
      </c>
      <c r="H355" s="97">
        <v>689</v>
      </c>
      <c r="I355" s="97">
        <v>783</v>
      </c>
      <c r="J355" s="97">
        <f t="shared" si="82"/>
        <v>19981</v>
      </c>
      <c r="K355" s="97">
        <f t="shared" si="83"/>
        <v>22707</v>
      </c>
      <c r="L355" s="97">
        <f t="shared" si="84"/>
        <v>2726</v>
      </c>
      <c r="M355" s="97" t="str">
        <f t="shared" si="85"/>
        <v>profit</v>
      </c>
      <c r="N355" s="100" t="b">
        <f t="shared" si="86"/>
        <v>0</v>
      </c>
    </row>
    <row r="356" spans="1:14" x14ac:dyDescent="0.3">
      <c r="A356" s="99">
        <v>45407</v>
      </c>
      <c r="B356" s="97" t="s">
        <v>157</v>
      </c>
      <c r="C356" s="19" t="s">
        <v>139</v>
      </c>
      <c r="D356" s="97" t="s">
        <v>154</v>
      </c>
      <c r="E356" s="97" t="s">
        <v>151</v>
      </c>
      <c r="F356" s="97" t="s">
        <v>112</v>
      </c>
      <c r="G356" s="97">
        <v>24</v>
      </c>
      <c r="H356" s="97">
        <v>859</v>
      </c>
      <c r="I356" s="97">
        <v>1473</v>
      </c>
      <c r="J356" s="97">
        <f t="shared" si="82"/>
        <v>20616</v>
      </c>
      <c r="K356" s="97">
        <f t="shared" si="83"/>
        <v>35352</v>
      </c>
      <c r="L356" s="97">
        <f t="shared" si="84"/>
        <v>14736</v>
      </c>
      <c r="M356" s="97" t="str">
        <f t="shared" si="85"/>
        <v>profit</v>
      </c>
      <c r="N356" s="100" t="b">
        <f t="shared" si="86"/>
        <v>1</v>
      </c>
    </row>
    <row r="357" spans="1:14" x14ac:dyDescent="0.3">
      <c r="A357" s="99">
        <v>45491</v>
      </c>
      <c r="B357" s="97" t="s">
        <v>272</v>
      </c>
      <c r="C357" s="19" t="s">
        <v>139</v>
      </c>
      <c r="D357" s="97" t="s">
        <v>205</v>
      </c>
      <c r="E357" s="97" t="s">
        <v>137</v>
      </c>
      <c r="F357" s="97" t="s">
        <v>112</v>
      </c>
      <c r="G357" s="97">
        <v>25</v>
      </c>
      <c r="H357" s="97">
        <v>861</v>
      </c>
      <c r="I357" s="97">
        <v>843</v>
      </c>
      <c r="J357" s="97">
        <f t="shared" si="82"/>
        <v>21525</v>
      </c>
      <c r="K357" s="97">
        <f t="shared" si="83"/>
        <v>21075</v>
      </c>
      <c r="L357" s="97">
        <f t="shared" si="84"/>
        <v>-450</v>
      </c>
      <c r="M357" s="97" t="str">
        <f t="shared" si="85"/>
        <v>loss</v>
      </c>
      <c r="N357" s="100" t="b">
        <f t="shared" si="86"/>
        <v>0</v>
      </c>
    </row>
    <row r="358" spans="1:14" x14ac:dyDescent="0.3">
      <c r="A358" s="99">
        <v>45492</v>
      </c>
      <c r="B358" s="97" t="s">
        <v>274</v>
      </c>
      <c r="C358" s="19" t="s">
        <v>139</v>
      </c>
      <c r="D358" s="97" t="s">
        <v>205</v>
      </c>
      <c r="E358" s="97" t="s">
        <v>240</v>
      </c>
      <c r="F358" s="97" t="s">
        <v>112</v>
      </c>
      <c r="G358" s="97">
        <v>22</v>
      </c>
      <c r="H358" s="97">
        <v>629</v>
      </c>
      <c r="I358" s="97">
        <v>1263</v>
      </c>
      <c r="J358" s="97">
        <f t="shared" si="82"/>
        <v>13838</v>
      </c>
      <c r="K358" s="97">
        <f t="shared" si="83"/>
        <v>27786</v>
      </c>
      <c r="L358" s="97">
        <f t="shared" si="84"/>
        <v>13948</v>
      </c>
      <c r="M358" s="97" t="str">
        <f t="shared" si="85"/>
        <v>profit</v>
      </c>
      <c r="N358" s="100" t="b">
        <f t="shared" si="86"/>
        <v>0</v>
      </c>
    </row>
    <row r="359" spans="1:14" x14ac:dyDescent="0.3">
      <c r="A359" s="99">
        <v>45493</v>
      </c>
      <c r="B359" s="97" t="s">
        <v>275</v>
      </c>
      <c r="C359" s="19" t="s">
        <v>139</v>
      </c>
      <c r="D359" s="97" t="s">
        <v>205</v>
      </c>
      <c r="E359" s="97" t="s">
        <v>242</v>
      </c>
      <c r="F359" s="97" t="s">
        <v>112</v>
      </c>
      <c r="G359" s="97">
        <v>22</v>
      </c>
      <c r="H359" s="97">
        <v>779</v>
      </c>
      <c r="I359" s="97">
        <v>1301</v>
      </c>
      <c r="J359" s="97">
        <f t="shared" si="82"/>
        <v>17138</v>
      </c>
      <c r="K359" s="97">
        <f t="shared" si="83"/>
        <v>28622</v>
      </c>
      <c r="L359" s="97">
        <f t="shared" si="84"/>
        <v>11484</v>
      </c>
      <c r="M359" s="97" t="str">
        <f t="shared" si="85"/>
        <v>profit</v>
      </c>
      <c r="N359" s="100" t="b">
        <f t="shared" si="86"/>
        <v>0</v>
      </c>
    </row>
    <row r="360" spans="1:14" x14ac:dyDescent="0.3">
      <c r="A360" s="99">
        <v>45494</v>
      </c>
      <c r="B360" s="97" t="s">
        <v>277</v>
      </c>
      <c r="C360" s="19" t="s">
        <v>139</v>
      </c>
      <c r="D360" s="97" t="s">
        <v>205</v>
      </c>
      <c r="E360" s="97" t="s">
        <v>111</v>
      </c>
      <c r="F360" s="97" t="s">
        <v>112</v>
      </c>
      <c r="G360" s="97">
        <v>23</v>
      </c>
      <c r="H360" s="97">
        <v>730</v>
      </c>
      <c r="I360" s="97">
        <v>1189</v>
      </c>
      <c r="J360" s="97">
        <f t="shared" si="82"/>
        <v>16790</v>
      </c>
      <c r="K360" s="97">
        <f t="shared" si="83"/>
        <v>27347</v>
      </c>
      <c r="L360" s="97">
        <f t="shared" si="84"/>
        <v>10557</v>
      </c>
      <c r="M360" s="97" t="str">
        <f t="shared" si="85"/>
        <v>profit</v>
      </c>
      <c r="N360" s="100" t="b">
        <f t="shared" si="86"/>
        <v>0</v>
      </c>
    </row>
    <row r="361" spans="1:14" x14ac:dyDescent="0.3">
      <c r="A361" s="99">
        <v>45517</v>
      </c>
      <c r="B361" s="97" t="s">
        <v>278</v>
      </c>
      <c r="C361" s="19" t="s">
        <v>139</v>
      </c>
      <c r="D361" s="97" t="s">
        <v>205</v>
      </c>
      <c r="E361" s="97" t="s">
        <v>137</v>
      </c>
      <c r="F361" s="97" t="s">
        <v>123</v>
      </c>
      <c r="G361" s="97">
        <v>26</v>
      </c>
      <c r="H361" s="97">
        <v>847</v>
      </c>
      <c r="I361" s="97">
        <v>1116</v>
      </c>
      <c r="J361" s="97">
        <f t="shared" si="82"/>
        <v>22022</v>
      </c>
      <c r="K361" s="97">
        <f t="shared" si="83"/>
        <v>29016</v>
      </c>
      <c r="L361" s="97">
        <f t="shared" si="84"/>
        <v>6994</v>
      </c>
      <c r="M361" s="97" t="str">
        <f t="shared" si="85"/>
        <v>profit</v>
      </c>
      <c r="N361" s="100" t="b">
        <f t="shared" si="86"/>
        <v>1</v>
      </c>
    </row>
    <row r="362" spans="1:14" x14ac:dyDescent="0.3">
      <c r="A362" s="99">
        <v>45518</v>
      </c>
      <c r="B362" s="97" t="s">
        <v>279</v>
      </c>
      <c r="C362" s="19" t="s">
        <v>139</v>
      </c>
      <c r="D362" s="97" t="s">
        <v>205</v>
      </c>
      <c r="E362" s="97" t="s">
        <v>142</v>
      </c>
      <c r="F362" s="97" t="s">
        <v>123</v>
      </c>
      <c r="G362" s="97">
        <v>24</v>
      </c>
      <c r="H362" s="97">
        <v>942</v>
      </c>
      <c r="I362" s="97">
        <v>1313</v>
      </c>
      <c r="J362" s="97">
        <f t="shared" si="82"/>
        <v>22608</v>
      </c>
      <c r="K362" s="97">
        <f t="shared" si="83"/>
        <v>31512</v>
      </c>
      <c r="L362" s="97">
        <f t="shared" si="84"/>
        <v>8904</v>
      </c>
      <c r="M362" s="97" t="str">
        <f t="shared" si="85"/>
        <v>profit</v>
      </c>
      <c r="N362" s="100" t="b">
        <f t="shared" si="86"/>
        <v>1</v>
      </c>
    </row>
    <row r="363" spans="1:14" x14ac:dyDescent="0.3">
      <c r="A363" s="99">
        <v>45519</v>
      </c>
      <c r="B363" s="97" t="s">
        <v>280</v>
      </c>
      <c r="C363" s="19" t="s">
        <v>139</v>
      </c>
      <c r="D363" s="97" t="s">
        <v>205</v>
      </c>
      <c r="E363" s="97" t="s">
        <v>122</v>
      </c>
      <c r="F363" s="97" t="s">
        <v>112</v>
      </c>
      <c r="G363" s="97">
        <v>20</v>
      </c>
      <c r="H363" s="97">
        <v>751</v>
      </c>
      <c r="I363" s="97">
        <v>861</v>
      </c>
      <c r="J363" s="97">
        <f t="shared" si="82"/>
        <v>15020</v>
      </c>
      <c r="K363" s="97">
        <f t="shared" si="83"/>
        <v>17220</v>
      </c>
      <c r="L363" s="97">
        <f t="shared" si="84"/>
        <v>2200</v>
      </c>
      <c r="M363" s="97" t="str">
        <f t="shared" si="85"/>
        <v>profit</v>
      </c>
      <c r="N363" s="100" t="b">
        <f t="shared" si="86"/>
        <v>0</v>
      </c>
    </row>
    <row r="364" spans="1:14" x14ac:dyDescent="0.3">
      <c r="A364" s="99">
        <v>45521</v>
      </c>
      <c r="B364" s="97" t="s">
        <v>282</v>
      </c>
      <c r="C364" s="19" t="s">
        <v>139</v>
      </c>
      <c r="D364" s="97" t="s">
        <v>205</v>
      </c>
      <c r="E364" s="97" t="s">
        <v>146</v>
      </c>
      <c r="F364" s="97" t="s">
        <v>123</v>
      </c>
      <c r="G364" s="97">
        <v>28</v>
      </c>
      <c r="H364" s="97">
        <v>855</v>
      </c>
      <c r="I364" s="97">
        <v>930</v>
      </c>
      <c r="J364" s="97">
        <f t="shared" si="82"/>
        <v>23940</v>
      </c>
      <c r="K364" s="97">
        <f t="shared" si="83"/>
        <v>26040</v>
      </c>
      <c r="L364" s="97">
        <f t="shared" si="84"/>
        <v>2100</v>
      </c>
      <c r="M364" s="97" t="str">
        <f t="shared" si="85"/>
        <v>profit</v>
      </c>
      <c r="N364" s="100" t="b">
        <f t="shared" si="86"/>
        <v>1</v>
      </c>
    </row>
    <row r="365" spans="1:14" x14ac:dyDescent="0.3">
      <c r="A365" s="99">
        <v>45522</v>
      </c>
      <c r="B365" s="97" t="s">
        <v>194</v>
      </c>
      <c r="C365" s="19" t="s">
        <v>139</v>
      </c>
      <c r="D365" s="97" t="s">
        <v>205</v>
      </c>
      <c r="E365" s="97" t="s">
        <v>129</v>
      </c>
      <c r="F365" s="97" t="s">
        <v>123</v>
      </c>
      <c r="G365" s="97">
        <v>22</v>
      </c>
      <c r="H365" s="97">
        <v>806</v>
      </c>
      <c r="I365" s="97">
        <v>1391</v>
      </c>
      <c r="J365" s="97">
        <f t="shared" si="82"/>
        <v>17732</v>
      </c>
      <c r="K365" s="97">
        <f t="shared" si="83"/>
        <v>30602</v>
      </c>
      <c r="L365" s="97">
        <f t="shared" si="84"/>
        <v>12870</v>
      </c>
      <c r="M365" s="97" t="str">
        <f t="shared" si="85"/>
        <v>profit</v>
      </c>
      <c r="N365" s="100" t="b">
        <f t="shared" si="86"/>
        <v>0</v>
      </c>
    </row>
    <row r="366" spans="1:14" x14ac:dyDescent="0.3">
      <c r="A366" s="99">
        <v>45523</v>
      </c>
      <c r="B366" s="97" t="s">
        <v>284</v>
      </c>
      <c r="C366" s="19" t="s">
        <v>139</v>
      </c>
      <c r="D366" s="97" t="s">
        <v>205</v>
      </c>
      <c r="E366" s="97" t="s">
        <v>133</v>
      </c>
      <c r="F366" s="97" t="s">
        <v>123</v>
      </c>
      <c r="G366" s="97">
        <v>30</v>
      </c>
      <c r="H366" s="97">
        <v>624</v>
      </c>
      <c r="I366" s="97">
        <v>999</v>
      </c>
      <c r="J366" s="97">
        <f t="shared" si="82"/>
        <v>18720</v>
      </c>
      <c r="K366" s="97">
        <f t="shared" si="83"/>
        <v>29970</v>
      </c>
      <c r="L366" s="97">
        <f t="shared" si="84"/>
        <v>11250</v>
      </c>
      <c r="M366" s="97" t="str">
        <f t="shared" si="85"/>
        <v>profit</v>
      </c>
      <c r="N366" s="100" t="b">
        <f t="shared" si="86"/>
        <v>0</v>
      </c>
    </row>
    <row r="367" spans="1:14" x14ac:dyDescent="0.3">
      <c r="A367" s="99">
        <v>45524</v>
      </c>
      <c r="B367" s="97" t="s">
        <v>192</v>
      </c>
      <c r="C367" s="19" t="s">
        <v>139</v>
      </c>
      <c r="D367" s="97" t="s">
        <v>205</v>
      </c>
      <c r="E367" s="97" t="s">
        <v>133</v>
      </c>
      <c r="F367" s="97" t="s">
        <v>112</v>
      </c>
      <c r="G367" s="97">
        <v>25</v>
      </c>
      <c r="H367" s="97">
        <v>533</v>
      </c>
      <c r="I367" s="97">
        <v>860</v>
      </c>
      <c r="J367" s="97">
        <f t="shared" si="82"/>
        <v>13325</v>
      </c>
      <c r="K367" s="97">
        <f t="shared" si="83"/>
        <v>21500</v>
      </c>
      <c r="L367" s="97">
        <f t="shared" si="84"/>
        <v>8175</v>
      </c>
      <c r="M367" s="97" t="str">
        <f t="shared" si="85"/>
        <v>profit</v>
      </c>
      <c r="N367" s="100" t="b">
        <f t="shared" si="86"/>
        <v>0</v>
      </c>
    </row>
    <row r="368" spans="1:14" x14ac:dyDescent="0.3">
      <c r="A368" s="99">
        <v>45525</v>
      </c>
      <c r="B368" s="97" t="s">
        <v>285</v>
      </c>
      <c r="C368" s="19" t="s">
        <v>139</v>
      </c>
      <c r="D368" s="97" t="s">
        <v>205</v>
      </c>
      <c r="E368" s="97" t="s">
        <v>155</v>
      </c>
      <c r="F368" s="97" t="s">
        <v>112</v>
      </c>
      <c r="G368" s="97">
        <v>20</v>
      </c>
      <c r="H368" s="97">
        <v>681</v>
      </c>
      <c r="I368" s="97">
        <v>823</v>
      </c>
      <c r="J368" s="97">
        <f t="shared" si="82"/>
        <v>13620</v>
      </c>
      <c r="K368" s="97">
        <f t="shared" si="83"/>
        <v>16460</v>
      </c>
      <c r="L368" s="97">
        <f t="shared" si="84"/>
        <v>2840</v>
      </c>
      <c r="M368" s="97" t="str">
        <f t="shared" si="85"/>
        <v>profit</v>
      </c>
      <c r="N368" s="100" t="b">
        <f t="shared" si="86"/>
        <v>0</v>
      </c>
    </row>
    <row r="369" spans="1:14" x14ac:dyDescent="0.3">
      <c r="A369" s="99">
        <v>45527</v>
      </c>
      <c r="B369" s="97" t="s">
        <v>286</v>
      </c>
      <c r="C369" s="19" t="s">
        <v>139</v>
      </c>
      <c r="D369" s="97" t="s">
        <v>205</v>
      </c>
      <c r="E369" s="97" t="s">
        <v>151</v>
      </c>
      <c r="F369" s="97" t="s">
        <v>112</v>
      </c>
      <c r="G369" s="97">
        <v>23</v>
      </c>
      <c r="H369" s="97">
        <v>577</v>
      </c>
      <c r="I369" s="97">
        <v>1125</v>
      </c>
      <c r="J369" s="97">
        <f t="shared" si="82"/>
        <v>13271</v>
      </c>
      <c r="K369" s="97">
        <f t="shared" si="83"/>
        <v>25875</v>
      </c>
      <c r="L369" s="97">
        <f t="shared" si="84"/>
        <v>12604</v>
      </c>
      <c r="M369" s="97" t="str">
        <f t="shared" si="85"/>
        <v>profit</v>
      </c>
      <c r="N369" s="100" t="b">
        <f t="shared" si="86"/>
        <v>0</v>
      </c>
    </row>
    <row r="370" spans="1:14" x14ac:dyDescent="0.3">
      <c r="A370" s="99">
        <v>45589</v>
      </c>
      <c r="B370" s="97" t="s">
        <v>288</v>
      </c>
      <c r="C370" s="19" t="s">
        <v>139</v>
      </c>
      <c r="D370" s="97" t="s">
        <v>220</v>
      </c>
      <c r="E370" s="97" t="s">
        <v>151</v>
      </c>
      <c r="F370" s="97" t="s">
        <v>112</v>
      </c>
      <c r="G370" s="97">
        <v>28</v>
      </c>
      <c r="H370" s="97">
        <v>537</v>
      </c>
      <c r="I370" s="97">
        <v>828</v>
      </c>
      <c r="J370" s="97">
        <f t="shared" si="82"/>
        <v>15036</v>
      </c>
      <c r="K370" s="97">
        <f t="shared" si="83"/>
        <v>23184</v>
      </c>
      <c r="L370" s="97">
        <f t="shared" si="84"/>
        <v>8148</v>
      </c>
      <c r="M370" s="97" t="str">
        <f t="shared" si="85"/>
        <v>profit</v>
      </c>
      <c r="N370" s="100" t="b">
        <f t="shared" si="86"/>
        <v>0</v>
      </c>
    </row>
    <row r="371" spans="1:14" x14ac:dyDescent="0.3">
      <c r="A371" s="99">
        <v>45591</v>
      </c>
      <c r="B371" s="97" t="s">
        <v>289</v>
      </c>
      <c r="C371" s="19" t="s">
        <v>139</v>
      </c>
      <c r="D371" s="97" t="s">
        <v>220</v>
      </c>
      <c r="E371" s="97" t="s">
        <v>125</v>
      </c>
      <c r="F371" s="97" t="s">
        <v>123</v>
      </c>
      <c r="G371" s="97">
        <v>23</v>
      </c>
      <c r="H371" s="97">
        <v>746</v>
      </c>
      <c r="I371" s="97">
        <v>1410</v>
      </c>
      <c r="J371" s="97">
        <f t="shared" si="82"/>
        <v>17158</v>
      </c>
      <c r="K371" s="97">
        <f t="shared" si="83"/>
        <v>32430</v>
      </c>
      <c r="L371" s="97">
        <f t="shared" si="84"/>
        <v>15272</v>
      </c>
      <c r="M371" s="97" t="str">
        <f t="shared" si="85"/>
        <v>profit</v>
      </c>
      <c r="N371" s="100" t="b">
        <f t="shared" si="86"/>
        <v>0</v>
      </c>
    </row>
    <row r="372" spans="1:14" x14ac:dyDescent="0.3">
      <c r="A372" s="99">
        <v>45596</v>
      </c>
      <c r="B372" s="97" t="s">
        <v>290</v>
      </c>
      <c r="C372" s="19" t="s">
        <v>139</v>
      </c>
      <c r="D372" s="97" t="s">
        <v>140</v>
      </c>
      <c r="E372" s="97" t="s">
        <v>111</v>
      </c>
      <c r="F372" s="97" t="s">
        <v>123</v>
      </c>
      <c r="G372" s="97">
        <v>29</v>
      </c>
      <c r="H372" s="97">
        <v>895</v>
      </c>
      <c r="I372" s="97">
        <v>882</v>
      </c>
      <c r="J372" s="97">
        <f t="shared" si="82"/>
        <v>25955</v>
      </c>
      <c r="K372" s="97">
        <f t="shared" si="83"/>
        <v>25578</v>
      </c>
      <c r="L372" s="97">
        <f t="shared" si="84"/>
        <v>-377</v>
      </c>
      <c r="M372" s="97" t="str">
        <f t="shared" si="85"/>
        <v>loss</v>
      </c>
      <c r="N372" s="100" t="b">
        <f t="shared" si="86"/>
        <v>0</v>
      </c>
    </row>
    <row r="373" spans="1:14" x14ac:dyDescent="0.3">
      <c r="A373" s="99">
        <v>45597</v>
      </c>
      <c r="B373" s="97" t="s">
        <v>292</v>
      </c>
      <c r="C373" s="19" t="s">
        <v>139</v>
      </c>
      <c r="D373" s="97" t="s">
        <v>140</v>
      </c>
      <c r="E373" s="97" t="s">
        <v>115</v>
      </c>
      <c r="F373" s="97" t="s">
        <v>123</v>
      </c>
      <c r="G373" s="97">
        <v>26</v>
      </c>
      <c r="H373" s="97">
        <v>728</v>
      </c>
      <c r="I373" s="97">
        <v>1466</v>
      </c>
      <c r="J373" s="97">
        <f t="shared" si="82"/>
        <v>18928</v>
      </c>
      <c r="K373" s="97">
        <f t="shared" si="83"/>
        <v>38116</v>
      </c>
      <c r="L373" s="97">
        <f t="shared" si="84"/>
        <v>19188</v>
      </c>
      <c r="M373" s="97" t="str">
        <f t="shared" si="85"/>
        <v>profit</v>
      </c>
      <c r="N373" s="100" t="b">
        <f t="shared" si="86"/>
        <v>0</v>
      </c>
    </row>
    <row r="374" spans="1:14" x14ac:dyDescent="0.3">
      <c r="A374" s="99">
        <v>45598</v>
      </c>
      <c r="B374" s="97" t="s">
        <v>294</v>
      </c>
      <c r="C374" s="19" t="s">
        <v>139</v>
      </c>
      <c r="D374" s="97" t="s">
        <v>140</v>
      </c>
      <c r="E374" s="97" t="s">
        <v>118</v>
      </c>
      <c r="F374" s="97" t="s">
        <v>123</v>
      </c>
      <c r="G374" s="97">
        <v>22</v>
      </c>
      <c r="H374" s="97">
        <v>586</v>
      </c>
      <c r="I374" s="97">
        <v>1206</v>
      </c>
      <c r="J374" s="97">
        <f t="shared" si="82"/>
        <v>12892</v>
      </c>
      <c r="K374" s="97">
        <f t="shared" si="83"/>
        <v>26532</v>
      </c>
      <c r="L374" s="97">
        <f t="shared" si="84"/>
        <v>13640</v>
      </c>
      <c r="M374" s="97" t="str">
        <f t="shared" si="85"/>
        <v>profit</v>
      </c>
      <c r="N374" s="100" t="b">
        <f t="shared" si="86"/>
        <v>0</v>
      </c>
    </row>
    <row r="375" spans="1:14" x14ac:dyDescent="0.3">
      <c r="A375" s="99">
        <v>45599</v>
      </c>
      <c r="B375" s="97" t="s">
        <v>295</v>
      </c>
      <c r="C375" s="19" t="s">
        <v>139</v>
      </c>
      <c r="D375" s="97" t="s">
        <v>140</v>
      </c>
      <c r="E375" s="97" t="s">
        <v>120</v>
      </c>
      <c r="F375" s="97" t="s">
        <v>112</v>
      </c>
      <c r="G375" s="97">
        <v>29</v>
      </c>
      <c r="H375" s="97">
        <v>724</v>
      </c>
      <c r="I375" s="97">
        <v>858</v>
      </c>
      <c r="J375" s="97">
        <f t="shared" si="82"/>
        <v>20996</v>
      </c>
      <c r="K375" s="97">
        <f t="shared" si="83"/>
        <v>24882</v>
      </c>
      <c r="L375" s="97">
        <f t="shared" si="84"/>
        <v>3886</v>
      </c>
      <c r="M375" s="97" t="str">
        <f t="shared" si="85"/>
        <v>profit</v>
      </c>
      <c r="N375" s="100" t="b">
        <f t="shared" si="86"/>
        <v>1</v>
      </c>
    </row>
    <row r="376" spans="1:14" x14ac:dyDescent="0.3">
      <c r="A376" s="99">
        <v>45600</v>
      </c>
      <c r="B376" s="97" t="s">
        <v>296</v>
      </c>
      <c r="C376" s="19" t="s">
        <v>139</v>
      </c>
      <c r="D376" s="97" t="s">
        <v>140</v>
      </c>
      <c r="E376" s="97" t="s">
        <v>120</v>
      </c>
      <c r="F376" s="97" t="s">
        <v>112</v>
      </c>
      <c r="G376" s="97">
        <v>20</v>
      </c>
      <c r="H376" s="97">
        <v>941</v>
      </c>
      <c r="I376" s="97">
        <v>1181</v>
      </c>
      <c r="J376" s="97">
        <f t="shared" si="82"/>
        <v>18820</v>
      </c>
      <c r="K376" s="97">
        <f t="shared" si="83"/>
        <v>23620</v>
      </c>
      <c r="L376" s="97">
        <f t="shared" si="84"/>
        <v>4800</v>
      </c>
      <c r="M376" s="97" t="str">
        <f t="shared" si="85"/>
        <v>profit</v>
      </c>
      <c r="N376" s="100" t="b">
        <f t="shared" si="86"/>
        <v>0</v>
      </c>
    </row>
    <row r="377" spans="1:14" x14ac:dyDescent="0.3">
      <c r="A377" s="99">
        <v>45601</v>
      </c>
      <c r="B377" s="97" t="s">
        <v>297</v>
      </c>
      <c r="C377" s="19" t="s">
        <v>139</v>
      </c>
      <c r="D377" s="97" t="s">
        <v>140</v>
      </c>
      <c r="E377" s="97" t="s">
        <v>122</v>
      </c>
      <c r="F377" s="97" t="s">
        <v>112</v>
      </c>
      <c r="G377" s="97">
        <v>22</v>
      </c>
      <c r="H377" s="97">
        <v>618</v>
      </c>
      <c r="I377" s="97">
        <v>1373</v>
      </c>
      <c r="J377" s="97">
        <f t="shared" si="82"/>
        <v>13596</v>
      </c>
      <c r="K377" s="97">
        <f t="shared" si="83"/>
        <v>30206</v>
      </c>
      <c r="L377" s="97">
        <f t="shared" si="84"/>
        <v>16610</v>
      </c>
      <c r="M377" s="97" t="str">
        <f t="shared" si="85"/>
        <v>profit</v>
      </c>
      <c r="N377" s="100" t="b">
        <f t="shared" si="86"/>
        <v>0</v>
      </c>
    </row>
    <row r="378" spans="1:14" x14ac:dyDescent="0.3">
      <c r="A378" s="99">
        <v>45609</v>
      </c>
      <c r="B378" s="97" t="s">
        <v>299</v>
      </c>
      <c r="C378" s="19" t="s">
        <v>139</v>
      </c>
      <c r="D378" s="97" t="s">
        <v>154</v>
      </c>
      <c r="E378" s="97" t="s">
        <v>166</v>
      </c>
      <c r="F378" s="97" t="s">
        <v>123</v>
      </c>
      <c r="G378" s="97">
        <v>28</v>
      </c>
      <c r="H378" s="97">
        <v>896</v>
      </c>
      <c r="I378" s="97">
        <v>1363</v>
      </c>
      <c r="J378" s="97">
        <f t="shared" si="82"/>
        <v>25088</v>
      </c>
      <c r="K378" s="97">
        <f t="shared" si="83"/>
        <v>38164</v>
      </c>
      <c r="L378" s="97">
        <f t="shared" si="84"/>
        <v>13076</v>
      </c>
      <c r="M378" s="97" t="str">
        <f t="shared" si="85"/>
        <v>profit</v>
      </c>
      <c r="N378" s="100" t="b">
        <f t="shared" si="86"/>
        <v>1</v>
      </c>
    </row>
    <row r="379" spans="1:14" x14ac:dyDescent="0.3">
      <c r="A379" s="99">
        <v>45611</v>
      </c>
      <c r="B379" s="97" t="s">
        <v>300</v>
      </c>
      <c r="C379" s="19" t="s">
        <v>139</v>
      </c>
      <c r="D379" s="97" t="s">
        <v>154</v>
      </c>
      <c r="E379" s="97" t="s">
        <v>129</v>
      </c>
      <c r="F379" s="97" t="s">
        <v>123</v>
      </c>
      <c r="G379" s="97">
        <v>28</v>
      </c>
      <c r="H379" s="97">
        <v>986</v>
      </c>
      <c r="I379" s="97">
        <v>866</v>
      </c>
      <c r="J379" s="97">
        <f t="shared" si="82"/>
        <v>27608</v>
      </c>
      <c r="K379" s="97">
        <f t="shared" si="83"/>
        <v>24248</v>
      </c>
      <c r="L379" s="97">
        <f t="shared" si="84"/>
        <v>-3360</v>
      </c>
      <c r="M379" s="97" t="str">
        <f t="shared" si="85"/>
        <v>loss</v>
      </c>
      <c r="N379" s="100" t="b">
        <f t="shared" si="86"/>
        <v>0</v>
      </c>
    </row>
    <row r="380" spans="1:14" x14ac:dyDescent="0.3">
      <c r="A380" s="99">
        <v>45612</v>
      </c>
      <c r="B380" s="97" t="s">
        <v>301</v>
      </c>
      <c r="C380" s="19" t="s">
        <v>139</v>
      </c>
      <c r="D380" s="97" t="s">
        <v>154</v>
      </c>
      <c r="E380" s="97" t="s">
        <v>137</v>
      </c>
      <c r="F380" s="97" t="s">
        <v>123</v>
      </c>
      <c r="G380" s="97">
        <v>27</v>
      </c>
      <c r="H380" s="97">
        <v>951</v>
      </c>
      <c r="I380" s="97">
        <v>1255</v>
      </c>
      <c r="J380" s="97">
        <f t="shared" si="82"/>
        <v>25677</v>
      </c>
      <c r="K380" s="97">
        <f t="shared" si="83"/>
        <v>33885</v>
      </c>
      <c r="L380" s="97">
        <f t="shared" si="84"/>
        <v>8208</v>
      </c>
      <c r="M380" s="97" t="str">
        <f t="shared" si="85"/>
        <v>profit</v>
      </c>
      <c r="N380" s="100" t="b">
        <f t="shared" si="86"/>
        <v>1</v>
      </c>
    </row>
    <row r="381" spans="1:14" x14ac:dyDescent="0.3">
      <c r="A381" s="99">
        <v>45432</v>
      </c>
      <c r="B381" s="97" t="s">
        <v>185</v>
      </c>
      <c r="C381" s="19" t="s">
        <v>127</v>
      </c>
      <c r="D381" s="97" t="s">
        <v>186</v>
      </c>
      <c r="E381" s="97" t="s">
        <v>129</v>
      </c>
      <c r="F381" s="97" t="s">
        <v>123</v>
      </c>
      <c r="G381" s="97">
        <v>63</v>
      </c>
      <c r="H381" s="97">
        <v>929</v>
      </c>
      <c r="I381" s="97">
        <v>1320</v>
      </c>
      <c r="J381" s="97">
        <f t="shared" si="82"/>
        <v>58527</v>
      </c>
      <c r="K381" s="97">
        <f t="shared" si="83"/>
        <v>83160</v>
      </c>
      <c r="L381" s="97">
        <f t="shared" si="84"/>
        <v>24633</v>
      </c>
      <c r="M381" s="97" t="str">
        <f t="shared" si="85"/>
        <v>profit</v>
      </c>
      <c r="N381" s="100" t="b">
        <f t="shared" si="86"/>
        <v>1</v>
      </c>
    </row>
    <row r="382" spans="1:14" x14ac:dyDescent="0.3">
      <c r="A382" s="99">
        <v>45613</v>
      </c>
      <c r="B382" s="97" t="s">
        <v>302</v>
      </c>
      <c r="C382" s="19" t="s">
        <v>139</v>
      </c>
      <c r="D382" s="97" t="s">
        <v>154</v>
      </c>
      <c r="E382" s="97" t="s">
        <v>151</v>
      </c>
      <c r="F382" s="97" t="s">
        <v>123</v>
      </c>
      <c r="G382" s="97">
        <v>22</v>
      </c>
      <c r="H382" s="97">
        <v>783</v>
      </c>
      <c r="I382" s="97">
        <v>886</v>
      </c>
      <c r="J382" s="97">
        <f t="shared" si="82"/>
        <v>17226</v>
      </c>
      <c r="K382" s="97">
        <f t="shared" si="83"/>
        <v>19492</v>
      </c>
      <c r="L382" s="97">
        <f t="shared" si="84"/>
        <v>2266</v>
      </c>
      <c r="M382" s="97" t="str">
        <f t="shared" si="85"/>
        <v>profit</v>
      </c>
      <c r="N382" s="100" t="b">
        <f t="shared" si="86"/>
        <v>0</v>
      </c>
    </row>
    <row r="383" spans="1:14" x14ac:dyDescent="0.3">
      <c r="A383" s="99">
        <v>45615</v>
      </c>
      <c r="B383" s="97" t="s">
        <v>303</v>
      </c>
      <c r="C383" s="19" t="s">
        <v>139</v>
      </c>
      <c r="D383" s="97" t="s">
        <v>154</v>
      </c>
      <c r="E383" s="97" t="s">
        <v>133</v>
      </c>
      <c r="F383" s="97" t="s">
        <v>112</v>
      </c>
      <c r="G383" s="97">
        <v>21</v>
      </c>
      <c r="H383" s="97">
        <v>547</v>
      </c>
      <c r="I383" s="97">
        <v>784</v>
      </c>
      <c r="J383" s="97">
        <f t="shared" si="82"/>
        <v>11487</v>
      </c>
      <c r="K383" s="97">
        <f t="shared" si="83"/>
        <v>16464</v>
      </c>
      <c r="L383" s="97">
        <f t="shared" si="84"/>
        <v>4977</v>
      </c>
      <c r="M383" s="97" t="str">
        <f t="shared" si="85"/>
        <v>profit</v>
      </c>
      <c r="N383" s="100" t="b">
        <f t="shared" si="86"/>
        <v>0</v>
      </c>
    </row>
    <row r="384" spans="1:14" x14ac:dyDescent="0.3">
      <c r="A384" s="99">
        <v>45617</v>
      </c>
      <c r="B384" s="97" t="s">
        <v>304</v>
      </c>
      <c r="C384" s="19" t="s">
        <v>139</v>
      </c>
      <c r="D384" s="97" t="s">
        <v>154</v>
      </c>
      <c r="E384" s="97" t="s">
        <v>137</v>
      </c>
      <c r="F384" s="97" t="s">
        <v>123</v>
      </c>
      <c r="G384" s="97">
        <v>20</v>
      </c>
      <c r="H384" s="97">
        <v>737</v>
      </c>
      <c r="I384" s="97">
        <v>932</v>
      </c>
      <c r="J384" s="97">
        <f t="shared" si="82"/>
        <v>14740</v>
      </c>
      <c r="K384" s="97">
        <f t="shared" si="83"/>
        <v>18640</v>
      </c>
      <c r="L384" s="97">
        <f t="shared" si="84"/>
        <v>3900</v>
      </c>
      <c r="M384" s="97" t="str">
        <f t="shared" si="85"/>
        <v>profit</v>
      </c>
      <c r="N384" s="100" t="b">
        <f t="shared" si="86"/>
        <v>0</v>
      </c>
    </row>
    <row r="385" spans="1:14" x14ac:dyDescent="0.3">
      <c r="A385" s="99">
        <v>45618</v>
      </c>
      <c r="B385" s="97" t="s">
        <v>306</v>
      </c>
      <c r="C385" s="19" t="s">
        <v>139</v>
      </c>
      <c r="D385" s="97" t="s">
        <v>154</v>
      </c>
      <c r="E385" s="97" t="s">
        <v>122</v>
      </c>
      <c r="F385" s="97" t="s">
        <v>123</v>
      </c>
      <c r="G385" s="97">
        <v>25</v>
      </c>
      <c r="H385" s="97">
        <v>924</v>
      </c>
      <c r="I385" s="97">
        <v>1062</v>
      </c>
      <c r="J385" s="97">
        <f t="shared" ref="J385:J448" si="87">G385*H385</f>
        <v>23100</v>
      </c>
      <c r="K385" s="97">
        <f t="shared" ref="K385:K448" si="88">G385*I385</f>
        <v>26550</v>
      </c>
      <c r="L385" s="97">
        <f t="shared" ref="L385:L448" si="89">K385-J385</f>
        <v>3450</v>
      </c>
      <c r="M385" s="97" t="str">
        <f t="shared" si="85"/>
        <v>profit</v>
      </c>
      <c r="N385" s="100" t="b">
        <f t="shared" si="86"/>
        <v>1</v>
      </c>
    </row>
    <row r="386" spans="1:14" x14ac:dyDescent="0.3">
      <c r="A386" s="99">
        <v>45619</v>
      </c>
      <c r="B386" s="97" t="s">
        <v>308</v>
      </c>
      <c r="C386" s="19" t="s">
        <v>139</v>
      </c>
      <c r="D386" s="97" t="s">
        <v>154</v>
      </c>
      <c r="E386" s="97" t="s">
        <v>137</v>
      </c>
      <c r="F386" s="97" t="s">
        <v>123</v>
      </c>
      <c r="G386" s="97">
        <v>28</v>
      </c>
      <c r="H386" s="97">
        <v>665</v>
      </c>
      <c r="I386" s="97">
        <v>1467</v>
      </c>
      <c r="J386" s="97">
        <f t="shared" si="87"/>
        <v>18620</v>
      </c>
      <c r="K386" s="97">
        <f t="shared" si="88"/>
        <v>41076</v>
      </c>
      <c r="L386" s="97">
        <f t="shared" si="89"/>
        <v>22456</v>
      </c>
      <c r="M386" s="97" t="str">
        <f t="shared" ref="M386:M449" si="90">IF(L386&gt;0,"profit","loss")</f>
        <v>profit</v>
      </c>
      <c r="N386" s="100" t="b">
        <f t="shared" ref="N386:N449" si="91">AND(L386&gt;0,J386&gt;20000)</f>
        <v>0</v>
      </c>
    </row>
    <row r="387" spans="1:14" x14ac:dyDescent="0.3">
      <c r="A387" s="99">
        <v>45620</v>
      </c>
      <c r="B387" s="97" t="s">
        <v>310</v>
      </c>
      <c r="C387" s="19" t="s">
        <v>139</v>
      </c>
      <c r="D387" s="97" t="s">
        <v>154</v>
      </c>
      <c r="E387" s="97" t="s">
        <v>142</v>
      </c>
      <c r="F387" s="97" t="s">
        <v>123</v>
      </c>
      <c r="G387" s="97">
        <v>24</v>
      </c>
      <c r="H387" s="97">
        <v>839</v>
      </c>
      <c r="I387" s="97">
        <v>1092</v>
      </c>
      <c r="J387" s="97">
        <f t="shared" si="87"/>
        <v>20136</v>
      </c>
      <c r="K387" s="97">
        <f t="shared" si="88"/>
        <v>26208</v>
      </c>
      <c r="L387" s="97">
        <f t="shared" si="89"/>
        <v>6072</v>
      </c>
      <c r="M387" s="97" t="str">
        <f t="shared" si="90"/>
        <v>profit</v>
      </c>
      <c r="N387" s="100" t="b">
        <f t="shared" si="91"/>
        <v>1</v>
      </c>
    </row>
    <row r="388" spans="1:14" x14ac:dyDescent="0.3">
      <c r="A388" s="99">
        <v>45621</v>
      </c>
      <c r="B388" s="97" t="s">
        <v>311</v>
      </c>
      <c r="C388" s="19" t="s">
        <v>139</v>
      </c>
      <c r="D388" s="97" t="s">
        <v>154</v>
      </c>
      <c r="E388" s="97" t="s">
        <v>122</v>
      </c>
      <c r="F388" s="97" t="s">
        <v>123</v>
      </c>
      <c r="G388" s="97">
        <v>30</v>
      </c>
      <c r="H388" s="97">
        <v>790</v>
      </c>
      <c r="I388" s="97">
        <v>1245</v>
      </c>
      <c r="J388" s="97">
        <f t="shared" si="87"/>
        <v>23700</v>
      </c>
      <c r="K388" s="97">
        <f t="shared" si="88"/>
        <v>37350</v>
      </c>
      <c r="L388" s="97">
        <f t="shared" si="89"/>
        <v>13650</v>
      </c>
      <c r="M388" s="97" t="str">
        <f t="shared" si="90"/>
        <v>profit</v>
      </c>
      <c r="N388" s="100" t="b">
        <f t="shared" si="91"/>
        <v>1</v>
      </c>
    </row>
    <row r="389" spans="1:14" x14ac:dyDescent="0.3">
      <c r="A389" s="99">
        <v>45622</v>
      </c>
      <c r="B389" s="97" t="s">
        <v>312</v>
      </c>
      <c r="C389" s="19" t="s">
        <v>139</v>
      </c>
      <c r="D389" s="97" t="s">
        <v>154</v>
      </c>
      <c r="E389" s="97" t="s">
        <v>145</v>
      </c>
      <c r="F389" s="97" t="s">
        <v>112</v>
      </c>
      <c r="G389" s="97">
        <v>30</v>
      </c>
      <c r="H389" s="97">
        <v>651</v>
      </c>
      <c r="I389" s="97">
        <v>1277</v>
      </c>
      <c r="J389" s="97">
        <f t="shared" si="87"/>
        <v>19530</v>
      </c>
      <c r="K389" s="97">
        <f t="shared" si="88"/>
        <v>38310</v>
      </c>
      <c r="L389" s="97">
        <f t="shared" si="89"/>
        <v>18780</v>
      </c>
      <c r="M389" s="97" t="str">
        <f t="shared" si="90"/>
        <v>profit</v>
      </c>
      <c r="N389" s="100" t="b">
        <f t="shared" si="91"/>
        <v>0</v>
      </c>
    </row>
    <row r="390" spans="1:14" x14ac:dyDescent="0.3">
      <c r="A390" s="99">
        <v>45441</v>
      </c>
      <c r="B390" s="97" t="s">
        <v>195</v>
      </c>
      <c r="C390" s="19" t="s">
        <v>127</v>
      </c>
      <c r="D390" s="97" t="s">
        <v>186</v>
      </c>
      <c r="E390" s="97" t="s">
        <v>146</v>
      </c>
      <c r="F390" s="97" t="s">
        <v>123</v>
      </c>
      <c r="G390" s="97">
        <v>67</v>
      </c>
      <c r="H390" s="97">
        <v>796</v>
      </c>
      <c r="I390" s="97">
        <v>1347</v>
      </c>
      <c r="J390" s="97">
        <f t="shared" si="87"/>
        <v>53332</v>
      </c>
      <c r="K390" s="97">
        <f t="shared" si="88"/>
        <v>90249</v>
      </c>
      <c r="L390" s="97">
        <f t="shared" si="89"/>
        <v>36917</v>
      </c>
      <c r="M390" s="97" t="str">
        <f t="shared" si="90"/>
        <v>profit</v>
      </c>
      <c r="N390" s="100" t="b">
        <f t="shared" si="91"/>
        <v>1</v>
      </c>
    </row>
    <row r="391" spans="1:14" x14ac:dyDescent="0.3">
      <c r="A391" s="99">
        <v>45623</v>
      </c>
      <c r="B391" s="97" t="s">
        <v>313</v>
      </c>
      <c r="C391" s="19" t="s">
        <v>139</v>
      </c>
      <c r="D391" s="97" t="s">
        <v>154</v>
      </c>
      <c r="E391" s="97" t="s">
        <v>146</v>
      </c>
      <c r="F391" s="97" t="s">
        <v>112</v>
      </c>
      <c r="G391" s="97">
        <v>23</v>
      </c>
      <c r="H391" s="97">
        <v>531</v>
      </c>
      <c r="I391" s="97">
        <v>1072</v>
      </c>
      <c r="J391" s="97">
        <f t="shared" si="87"/>
        <v>12213</v>
      </c>
      <c r="K391" s="97">
        <f t="shared" si="88"/>
        <v>24656</v>
      </c>
      <c r="L391" s="97">
        <f t="shared" si="89"/>
        <v>12443</v>
      </c>
      <c r="M391" s="97" t="str">
        <f t="shared" si="90"/>
        <v>profit</v>
      </c>
      <c r="N391" s="100" t="b">
        <f t="shared" si="91"/>
        <v>0</v>
      </c>
    </row>
    <row r="392" spans="1:14" x14ac:dyDescent="0.3">
      <c r="A392" s="99">
        <v>45624</v>
      </c>
      <c r="B392" s="97" t="s">
        <v>314</v>
      </c>
      <c r="C392" s="19" t="s">
        <v>139</v>
      </c>
      <c r="D392" s="97" t="s">
        <v>205</v>
      </c>
      <c r="E392" s="97" t="s">
        <v>129</v>
      </c>
      <c r="F392" s="97" t="s">
        <v>112</v>
      </c>
      <c r="G392" s="97">
        <v>30</v>
      </c>
      <c r="H392" s="97">
        <v>591</v>
      </c>
      <c r="I392" s="97">
        <v>949</v>
      </c>
      <c r="J392" s="97">
        <f t="shared" si="87"/>
        <v>17730</v>
      </c>
      <c r="K392" s="97">
        <f t="shared" si="88"/>
        <v>28470</v>
      </c>
      <c r="L392" s="97">
        <f t="shared" si="89"/>
        <v>10740</v>
      </c>
      <c r="M392" s="97" t="str">
        <f t="shared" si="90"/>
        <v>profit</v>
      </c>
      <c r="N392" s="100" t="b">
        <f t="shared" si="91"/>
        <v>0</v>
      </c>
    </row>
    <row r="393" spans="1:14" x14ac:dyDescent="0.3">
      <c r="A393" s="99">
        <v>45625</v>
      </c>
      <c r="B393" s="97" t="s">
        <v>315</v>
      </c>
      <c r="C393" s="19" t="s">
        <v>139</v>
      </c>
      <c r="D393" s="97" t="s">
        <v>205</v>
      </c>
      <c r="E393" s="97" t="s">
        <v>133</v>
      </c>
      <c r="F393" s="97" t="s">
        <v>112</v>
      </c>
      <c r="G393" s="97">
        <v>29</v>
      </c>
      <c r="H393" s="97">
        <v>621</v>
      </c>
      <c r="I393" s="97">
        <v>1485</v>
      </c>
      <c r="J393" s="97">
        <f t="shared" si="87"/>
        <v>18009</v>
      </c>
      <c r="K393" s="97">
        <f t="shared" si="88"/>
        <v>43065</v>
      </c>
      <c r="L393" s="97">
        <f t="shared" si="89"/>
        <v>25056</v>
      </c>
      <c r="M393" s="97" t="str">
        <f t="shared" si="90"/>
        <v>profit</v>
      </c>
      <c r="N393" s="100" t="b">
        <f t="shared" si="91"/>
        <v>0</v>
      </c>
    </row>
    <row r="394" spans="1:14" x14ac:dyDescent="0.3">
      <c r="A394" s="99">
        <v>45627</v>
      </c>
      <c r="B394" s="97" t="s">
        <v>317</v>
      </c>
      <c r="C394" s="19" t="s">
        <v>139</v>
      </c>
      <c r="D394" s="97" t="s">
        <v>205</v>
      </c>
      <c r="E394" s="97" t="s">
        <v>155</v>
      </c>
      <c r="F394" s="97" t="s">
        <v>112</v>
      </c>
      <c r="G394" s="97">
        <v>30</v>
      </c>
      <c r="H394" s="97">
        <v>857</v>
      </c>
      <c r="I394" s="97">
        <v>1455</v>
      </c>
      <c r="J394" s="97">
        <f t="shared" si="87"/>
        <v>25710</v>
      </c>
      <c r="K394" s="97">
        <f t="shared" si="88"/>
        <v>43650</v>
      </c>
      <c r="L394" s="97">
        <f t="shared" si="89"/>
        <v>17940</v>
      </c>
      <c r="M394" s="97" t="str">
        <f t="shared" si="90"/>
        <v>profit</v>
      </c>
      <c r="N394" s="100" t="b">
        <f t="shared" si="91"/>
        <v>1</v>
      </c>
    </row>
    <row r="395" spans="1:14" x14ac:dyDescent="0.3">
      <c r="A395" s="99">
        <v>45628</v>
      </c>
      <c r="B395" s="97" t="s">
        <v>318</v>
      </c>
      <c r="C395" s="19" t="s">
        <v>139</v>
      </c>
      <c r="D395" s="97" t="s">
        <v>205</v>
      </c>
      <c r="E395" s="97" t="s">
        <v>155</v>
      </c>
      <c r="F395" s="97" t="s">
        <v>112</v>
      </c>
      <c r="G395" s="97">
        <v>20</v>
      </c>
      <c r="H395" s="97">
        <v>897</v>
      </c>
      <c r="I395" s="97">
        <v>1024</v>
      </c>
      <c r="J395" s="97">
        <f t="shared" si="87"/>
        <v>17940</v>
      </c>
      <c r="K395" s="97">
        <f t="shared" si="88"/>
        <v>20480</v>
      </c>
      <c r="L395" s="97">
        <f t="shared" si="89"/>
        <v>2540</v>
      </c>
      <c r="M395" s="97" t="str">
        <f t="shared" si="90"/>
        <v>profit</v>
      </c>
      <c r="N395" s="100" t="b">
        <f t="shared" si="91"/>
        <v>0</v>
      </c>
    </row>
    <row r="396" spans="1:14" x14ac:dyDescent="0.3">
      <c r="A396" s="99">
        <v>45630</v>
      </c>
      <c r="B396" s="97" t="s">
        <v>319</v>
      </c>
      <c r="C396" s="19" t="s">
        <v>139</v>
      </c>
      <c r="D396" s="97" t="s">
        <v>205</v>
      </c>
      <c r="E396" s="97" t="s">
        <v>133</v>
      </c>
      <c r="F396" s="97" t="s">
        <v>123</v>
      </c>
      <c r="G396" s="97">
        <v>22</v>
      </c>
      <c r="H396" s="97">
        <v>781</v>
      </c>
      <c r="I396" s="97">
        <v>1423</v>
      </c>
      <c r="J396" s="97">
        <f t="shared" si="87"/>
        <v>17182</v>
      </c>
      <c r="K396" s="97">
        <f t="shared" si="88"/>
        <v>31306</v>
      </c>
      <c r="L396" s="97">
        <f t="shared" si="89"/>
        <v>14124</v>
      </c>
      <c r="M396" s="97" t="str">
        <f t="shared" si="90"/>
        <v>profit</v>
      </c>
      <c r="N396" s="100" t="b">
        <f t="shared" si="91"/>
        <v>0</v>
      </c>
    </row>
    <row r="397" spans="1:14" x14ac:dyDescent="0.3">
      <c r="A397" s="99">
        <v>45631</v>
      </c>
      <c r="B397" s="97" t="s">
        <v>320</v>
      </c>
      <c r="C397" s="19" t="s">
        <v>139</v>
      </c>
      <c r="D397" s="97" t="s">
        <v>205</v>
      </c>
      <c r="E397" s="97" t="s">
        <v>125</v>
      </c>
      <c r="F397" s="97" t="s">
        <v>123</v>
      </c>
      <c r="G397" s="97">
        <v>20</v>
      </c>
      <c r="H397" s="97">
        <v>854</v>
      </c>
      <c r="I397" s="97">
        <v>956</v>
      </c>
      <c r="J397" s="97">
        <f t="shared" si="87"/>
        <v>17080</v>
      </c>
      <c r="K397" s="97">
        <f t="shared" si="88"/>
        <v>19120</v>
      </c>
      <c r="L397" s="97">
        <f t="shared" si="89"/>
        <v>2040</v>
      </c>
      <c r="M397" s="97" t="str">
        <f t="shared" si="90"/>
        <v>profit</v>
      </c>
      <c r="N397" s="100" t="b">
        <f t="shared" si="91"/>
        <v>0</v>
      </c>
    </row>
    <row r="398" spans="1:14" x14ac:dyDescent="0.3">
      <c r="A398" s="99">
        <v>45632</v>
      </c>
      <c r="B398" s="97" t="s">
        <v>321</v>
      </c>
      <c r="C398" s="19" t="s">
        <v>139</v>
      </c>
      <c r="D398" s="97" t="s">
        <v>205</v>
      </c>
      <c r="E398" s="97" t="s">
        <v>200</v>
      </c>
      <c r="F398" s="97" t="s">
        <v>123</v>
      </c>
      <c r="G398" s="97">
        <v>26</v>
      </c>
      <c r="H398" s="97">
        <v>909</v>
      </c>
      <c r="I398" s="97">
        <v>1206</v>
      </c>
      <c r="J398" s="97">
        <f t="shared" si="87"/>
        <v>23634</v>
      </c>
      <c r="K398" s="97">
        <f t="shared" si="88"/>
        <v>31356</v>
      </c>
      <c r="L398" s="97">
        <f t="shared" si="89"/>
        <v>7722</v>
      </c>
      <c r="M398" s="97" t="str">
        <f t="shared" si="90"/>
        <v>profit</v>
      </c>
      <c r="N398" s="100" t="b">
        <f t="shared" si="91"/>
        <v>1</v>
      </c>
    </row>
    <row r="399" spans="1:14" x14ac:dyDescent="0.3">
      <c r="A399" s="99">
        <v>45633</v>
      </c>
      <c r="B399" s="97" t="s">
        <v>322</v>
      </c>
      <c r="C399" s="19" t="s">
        <v>139</v>
      </c>
      <c r="D399" s="97" t="s">
        <v>205</v>
      </c>
      <c r="E399" s="97" t="s">
        <v>137</v>
      </c>
      <c r="F399" s="97" t="s">
        <v>112</v>
      </c>
      <c r="G399" s="97">
        <v>20</v>
      </c>
      <c r="H399" s="97">
        <v>976</v>
      </c>
      <c r="I399" s="97">
        <v>905</v>
      </c>
      <c r="J399" s="97">
        <f t="shared" si="87"/>
        <v>19520</v>
      </c>
      <c r="K399" s="97">
        <f t="shared" si="88"/>
        <v>18100</v>
      </c>
      <c r="L399" s="97">
        <f t="shared" si="89"/>
        <v>-1420</v>
      </c>
      <c r="M399" s="97" t="str">
        <f t="shared" si="90"/>
        <v>loss</v>
      </c>
      <c r="N399" s="100" t="b">
        <f t="shared" si="91"/>
        <v>0</v>
      </c>
    </row>
    <row r="400" spans="1:14" x14ac:dyDescent="0.3">
      <c r="A400" s="99">
        <v>45635</v>
      </c>
      <c r="B400" s="97" t="s">
        <v>323</v>
      </c>
      <c r="C400" s="19" t="s">
        <v>139</v>
      </c>
      <c r="D400" s="97" t="s">
        <v>205</v>
      </c>
      <c r="E400" s="97" t="s">
        <v>242</v>
      </c>
      <c r="F400" s="97" t="s">
        <v>123</v>
      </c>
      <c r="G400" s="97">
        <v>24</v>
      </c>
      <c r="H400" s="97">
        <v>787</v>
      </c>
      <c r="I400" s="97">
        <v>1122</v>
      </c>
      <c r="J400" s="97">
        <f t="shared" si="87"/>
        <v>18888</v>
      </c>
      <c r="K400" s="97">
        <f t="shared" si="88"/>
        <v>26928</v>
      </c>
      <c r="L400" s="97">
        <f t="shared" si="89"/>
        <v>8040</v>
      </c>
      <c r="M400" s="97" t="str">
        <f t="shared" si="90"/>
        <v>profit</v>
      </c>
      <c r="N400" s="100" t="b">
        <f t="shared" si="91"/>
        <v>0</v>
      </c>
    </row>
    <row r="401" spans="1:14" x14ac:dyDescent="0.3">
      <c r="A401" s="99">
        <v>45689</v>
      </c>
      <c r="B401" s="97" t="s">
        <v>324</v>
      </c>
      <c r="C401" s="19" t="s">
        <v>139</v>
      </c>
      <c r="D401" s="97" t="s">
        <v>205</v>
      </c>
      <c r="E401" s="97" t="s">
        <v>137</v>
      </c>
      <c r="F401" s="97" t="s">
        <v>112</v>
      </c>
      <c r="G401" s="97">
        <v>23</v>
      </c>
      <c r="H401" s="97">
        <v>755</v>
      </c>
      <c r="I401" s="97">
        <v>806</v>
      </c>
      <c r="J401" s="97">
        <f t="shared" si="87"/>
        <v>17365</v>
      </c>
      <c r="K401" s="97">
        <f t="shared" si="88"/>
        <v>18538</v>
      </c>
      <c r="L401" s="97">
        <f t="shared" si="89"/>
        <v>1173</v>
      </c>
      <c r="M401" s="97" t="str">
        <f t="shared" si="90"/>
        <v>profit</v>
      </c>
      <c r="N401" s="100" t="b">
        <f t="shared" si="91"/>
        <v>0</v>
      </c>
    </row>
    <row r="402" spans="1:14" x14ac:dyDescent="0.3">
      <c r="A402" s="99">
        <v>45690</v>
      </c>
      <c r="B402" s="97" t="s">
        <v>325</v>
      </c>
      <c r="C402" s="19" t="s">
        <v>139</v>
      </c>
      <c r="D402" s="97" t="s">
        <v>205</v>
      </c>
      <c r="E402" s="97" t="s">
        <v>240</v>
      </c>
      <c r="F402" s="97" t="s">
        <v>112</v>
      </c>
      <c r="G402" s="97">
        <v>26</v>
      </c>
      <c r="H402" s="97">
        <v>573</v>
      </c>
      <c r="I402" s="97">
        <v>1309</v>
      </c>
      <c r="J402" s="97">
        <f t="shared" si="87"/>
        <v>14898</v>
      </c>
      <c r="K402" s="97">
        <f t="shared" si="88"/>
        <v>34034</v>
      </c>
      <c r="L402" s="97">
        <f t="shared" si="89"/>
        <v>19136</v>
      </c>
      <c r="M402" s="97" t="str">
        <f t="shared" si="90"/>
        <v>profit</v>
      </c>
      <c r="N402" s="100" t="b">
        <f t="shared" si="91"/>
        <v>0</v>
      </c>
    </row>
    <row r="403" spans="1:14" x14ac:dyDescent="0.3">
      <c r="A403" s="99">
        <v>45691</v>
      </c>
      <c r="B403" s="97" t="s">
        <v>326</v>
      </c>
      <c r="C403" s="19" t="s">
        <v>139</v>
      </c>
      <c r="D403" s="97" t="s">
        <v>205</v>
      </c>
      <c r="E403" s="97" t="s">
        <v>242</v>
      </c>
      <c r="F403" s="97" t="s">
        <v>112</v>
      </c>
      <c r="G403" s="97">
        <v>30</v>
      </c>
      <c r="H403" s="97">
        <v>946</v>
      </c>
      <c r="I403" s="97">
        <v>1089</v>
      </c>
      <c r="J403" s="97">
        <f t="shared" si="87"/>
        <v>28380</v>
      </c>
      <c r="K403" s="97">
        <f t="shared" si="88"/>
        <v>32670</v>
      </c>
      <c r="L403" s="97">
        <f t="shared" si="89"/>
        <v>4290</v>
      </c>
      <c r="M403" s="97" t="str">
        <f t="shared" si="90"/>
        <v>profit</v>
      </c>
      <c r="N403" s="100" t="b">
        <f t="shared" si="91"/>
        <v>1</v>
      </c>
    </row>
    <row r="404" spans="1:14" x14ac:dyDescent="0.3">
      <c r="A404" s="99">
        <v>45692</v>
      </c>
      <c r="B404" s="97" t="s">
        <v>328</v>
      </c>
      <c r="C404" s="19" t="s">
        <v>139</v>
      </c>
      <c r="D404" s="97" t="s">
        <v>205</v>
      </c>
      <c r="E404" s="97" t="s">
        <v>111</v>
      </c>
      <c r="F404" s="97" t="s">
        <v>123</v>
      </c>
      <c r="G404" s="97">
        <v>22</v>
      </c>
      <c r="H404" s="97">
        <v>679</v>
      </c>
      <c r="I404" s="97">
        <v>1463</v>
      </c>
      <c r="J404" s="97">
        <f t="shared" si="87"/>
        <v>14938</v>
      </c>
      <c r="K404" s="97">
        <f t="shared" si="88"/>
        <v>32186</v>
      </c>
      <c r="L404" s="97">
        <f t="shared" si="89"/>
        <v>17248</v>
      </c>
      <c r="M404" s="97" t="str">
        <f t="shared" si="90"/>
        <v>profit</v>
      </c>
      <c r="N404" s="100" t="b">
        <f t="shared" si="91"/>
        <v>0</v>
      </c>
    </row>
    <row r="405" spans="1:14" x14ac:dyDescent="0.3">
      <c r="A405" s="99">
        <v>45693</v>
      </c>
      <c r="B405" s="97" t="s">
        <v>329</v>
      </c>
      <c r="C405" s="19" t="s">
        <v>139</v>
      </c>
      <c r="D405" s="97" t="s">
        <v>205</v>
      </c>
      <c r="E405" s="97" t="s">
        <v>115</v>
      </c>
      <c r="F405" s="97" t="s">
        <v>123</v>
      </c>
      <c r="G405" s="97">
        <v>25</v>
      </c>
      <c r="H405" s="97">
        <v>975</v>
      </c>
      <c r="I405" s="97">
        <v>935</v>
      </c>
      <c r="J405" s="97">
        <f t="shared" si="87"/>
        <v>24375</v>
      </c>
      <c r="K405" s="97">
        <f t="shared" si="88"/>
        <v>23375</v>
      </c>
      <c r="L405" s="97">
        <f t="shared" si="89"/>
        <v>-1000</v>
      </c>
      <c r="M405" s="97" t="str">
        <f t="shared" si="90"/>
        <v>loss</v>
      </c>
      <c r="N405" s="100" t="b">
        <f t="shared" si="91"/>
        <v>0</v>
      </c>
    </row>
    <row r="406" spans="1:14" x14ac:dyDescent="0.3">
      <c r="A406" s="99">
        <v>45694</v>
      </c>
      <c r="B406" s="97" t="s">
        <v>330</v>
      </c>
      <c r="C406" s="19" t="s">
        <v>139</v>
      </c>
      <c r="D406" s="97" t="s">
        <v>205</v>
      </c>
      <c r="E406" s="97" t="s">
        <v>118</v>
      </c>
      <c r="F406" s="97" t="s">
        <v>123</v>
      </c>
      <c r="G406" s="97">
        <v>24</v>
      </c>
      <c r="H406" s="97">
        <v>642</v>
      </c>
      <c r="I406" s="97">
        <v>996</v>
      </c>
      <c r="J406" s="97">
        <f t="shared" si="87"/>
        <v>15408</v>
      </c>
      <c r="K406" s="97">
        <f t="shared" si="88"/>
        <v>23904</v>
      </c>
      <c r="L406" s="97">
        <f t="shared" si="89"/>
        <v>8496</v>
      </c>
      <c r="M406" s="97" t="str">
        <f t="shared" si="90"/>
        <v>profit</v>
      </c>
      <c r="N406" s="100" t="b">
        <f t="shared" si="91"/>
        <v>0</v>
      </c>
    </row>
    <row r="407" spans="1:14" x14ac:dyDescent="0.3">
      <c r="A407" s="99">
        <v>45458</v>
      </c>
      <c r="B407" s="97" t="s">
        <v>201</v>
      </c>
      <c r="C407" s="19" t="s">
        <v>109</v>
      </c>
      <c r="D407" s="97" t="s">
        <v>110</v>
      </c>
      <c r="E407" s="97" t="s">
        <v>120</v>
      </c>
      <c r="F407" s="97" t="s">
        <v>112</v>
      </c>
      <c r="G407" s="97">
        <v>14</v>
      </c>
      <c r="H407" s="97">
        <v>603</v>
      </c>
      <c r="I407" s="97">
        <v>1104</v>
      </c>
      <c r="J407" s="97">
        <f t="shared" si="87"/>
        <v>8442</v>
      </c>
      <c r="K407" s="97">
        <f t="shared" si="88"/>
        <v>15456</v>
      </c>
      <c r="L407" s="97">
        <f t="shared" si="89"/>
        <v>7014</v>
      </c>
      <c r="M407" s="97" t="str">
        <f t="shared" si="90"/>
        <v>profit</v>
      </c>
      <c r="N407" s="100" t="b">
        <f t="shared" si="91"/>
        <v>0</v>
      </c>
    </row>
    <row r="408" spans="1:14" x14ac:dyDescent="0.3">
      <c r="A408" s="99">
        <v>45695</v>
      </c>
      <c r="B408" s="97" t="s">
        <v>332</v>
      </c>
      <c r="C408" s="19" t="s">
        <v>139</v>
      </c>
      <c r="D408" s="97" t="s">
        <v>205</v>
      </c>
      <c r="E408" s="97" t="s">
        <v>120</v>
      </c>
      <c r="F408" s="97" t="s">
        <v>123</v>
      </c>
      <c r="G408" s="97">
        <v>29</v>
      </c>
      <c r="H408" s="97">
        <v>598</v>
      </c>
      <c r="I408" s="97">
        <v>923</v>
      </c>
      <c r="J408" s="97">
        <f t="shared" si="87"/>
        <v>17342</v>
      </c>
      <c r="K408" s="97">
        <f t="shared" si="88"/>
        <v>26767</v>
      </c>
      <c r="L408" s="97">
        <f t="shared" si="89"/>
        <v>9425</v>
      </c>
      <c r="M408" s="97" t="str">
        <f t="shared" si="90"/>
        <v>profit</v>
      </c>
      <c r="N408" s="100" t="b">
        <f t="shared" si="91"/>
        <v>0</v>
      </c>
    </row>
    <row r="409" spans="1:14" x14ac:dyDescent="0.3">
      <c r="A409" s="99">
        <v>45696</v>
      </c>
      <c r="B409" s="97" t="s">
        <v>333</v>
      </c>
      <c r="C409" s="19" t="s">
        <v>139</v>
      </c>
      <c r="D409" s="97" t="s">
        <v>205</v>
      </c>
      <c r="E409" s="97" t="s">
        <v>120</v>
      </c>
      <c r="F409" s="97" t="s">
        <v>123</v>
      </c>
      <c r="G409" s="97">
        <v>22</v>
      </c>
      <c r="H409" s="97">
        <v>719</v>
      </c>
      <c r="I409" s="97">
        <v>1079</v>
      </c>
      <c r="J409" s="97">
        <f t="shared" si="87"/>
        <v>15818</v>
      </c>
      <c r="K409" s="97">
        <f t="shared" si="88"/>
        <v>23738</v>
      </c>
      <c r="L409" s="97">
        <f t="shared" si="89"/>
        <v>7920</v>
      </c>
      <c r="M409" s="97" t="str">
        <f t="shared" si="90"/>
        <v>profit</v>
      </c>
      <c r="N409" s="100" t="b">
        <f t="shared" si="91"/>
        <v>0</v>
      </c>
    </row>
    <row r="410" spans="1:14" x14ac:dyDescent="0.3">
      <c r="A410" s="99">
        <v>45697</v>
      </c>
      <c r="B410" s="97" t="s">
        <v>334</v>
      </c>
      <c r="C410" s="19" t="s">
        <v>139</v>
      </c>
      <c r="D410" s="97" t="s">
        <v>205</v>
      </c>
      <c r="E410" s="97" t="s">
        <v>122</v>
      </c>
      <c r="F410" s="97" t="s">
        <v>112</v>
      </c>
      <c r="G410" s="97">
        <v>30</v>
      </c>
      <c r="H410" s="97">
        <v>716</v>
      </c>
      <c r="I410" s="97">
        <v>956</v>
      </c>
      <c r="J410" s="97">
        <f t="shared" si="87"/>
        <v>21480</v>
      </c>
      <c r="K410" s="97">
        <f t="shared" si="88"/>
        <v>28680</v>
      </c>
      <c r="L410" s="97">
        <f t="shared" si="89"/>
        <v>7200</v>
      </c>
      <c r="M410" s="97" t="str">
        <f t="shared" si="90"/>
        <v>profit</v>
      </c>
      <c r="N410" s="100" t="b">
        <f t="shared" si="91"/>
        <v>1</v>
      </c>
    </row>
    <row r="411" spans="1:14" x14ac:dyDescent="0.3">
      <c r="A411" s="99">
        <v>45699</v>
      </c>
      <c r="B411" s="97" t="s">
        <v>335</v>
      </c>
      <c r="C411" s="19" t="s">
        <v>139</v>
      </c>
      <c r="D411" s="97" t="s">
        <v>205</v>
      </c>
      <c r="E411" s="97" t="s">
        <v>129</v>
      </c>
      <c r="F411" s="97" t="s">
        <v>112</v>
      </c>
      <c r="G411" s="97">
        <v>29</v>
      </c>
      <c r="H411" s="97">
        <v>623</v>
      </c>
      <c r="I411" s="97">
        <v>919</v>
      </c>
      <c r="J411" s="97">
        <f t="shared" si="87"/>
        <v>18067</v>
      </c>
      <c r="K411" s="97">
        <f t="shared" si="88"/>
        <v>26651</v>
      </c>
      <c r="L411" s="97">
        <f t="shared" si="89"/>
        <v>8584</v>
      </c>
      <c r="M411" s="97" t="str">
        <f t="shared" si="90"/>
        <v>profit</v>
      </c>
      <c r="N411" s="100" t="b">
        <f t="shared" si="91"/>
        <v>0</v>
      </c>
    </row>
    <row r="412" spans="1:14" x14ac:dyDescent="0.3">
      <c r="A412" s="99">
        <v>45383</v>
      </c>
      <c r="B412" s="97" t="s">
        <v>218</v>
      </c>
      <c r="C412" s="19" t="s">
        <v>139</v>
      </c>
      <c r="D412" s="97" t="s">
        <v>140</v>
      </c>
      <c r="E412" s="97" t="s">
        <v>161</v>
      </c>
      <c r="F412" s="97" t="s">
        <v>123</v>
      </c>
      <c r="G412" s="97">
        <v>21</v>
      </c>
      <c r="H412" s="97">
        <v>553</v>
      </c>
      <c r="I412" s="97">
        <v>1459</v>
      </c>
      <c r="J412" s="97">
        <f t="shared" si="87"/>
        <v>11613</v>
      </c>
      <c r="K412" s="97">
        <f t="shared" si="88"/>
        <v>30639</v>
      </c>
      <c r="L412" s="97">
        <f t="shared" si="89"/>
        <v>19026</v>
      </c>
      <c r="M412" s="97" t="str">
        <f t="shared" si="90"/>
        <v>profit</v>
      </c>
      <c r="N412" s="100" t="b">
        <f t="shared" si="91"/>
        <v>0</v>
      </c>
    </row>
    <row r="413" spans="1:14" x14ac:dyDescent="0.3">
      <c r="A413" s="99">
        <v>45464</v>
      </c>
      <c r="B413" s="97" t="s">
        <v>202</v>
      </c>
      <c r="C413" s="19" t="s">
        <v>127</v>
      </c>
      <c r="D413" s="97" t="s">
        <v>186</v>
      </c>
      <c r="E413" s="97" t="s">
        <v>137</v>
      </c>
      <c r="F413" s="97" t="s">
        <v>112</v>
      </c>
      <c r="G413" s="97">
        <v>77</v>
      </c>
      <c r="H413" s="97">
        <v>923</v>
      </c>
      <c r="I413" s="97">
        <v>1132</v>
      </c>
      <c r="J413" s="97">
        <f t="shared" si="87"/>
        <v>71071</v>
      </c>
      <c r="K413" s="97">
        <f t="shared" si="88"/>
        <v>87164</v>
      </c>
      <c r="L413" s="97">
        <f t="shared" si="89"/>
        <v>16093</v>
      </c>
      <c r="M413" s="97" t="str">
        <f t="shared" si="90"/>
        <v>profit</v>
      </c>
      <c r="N413" s="100" t="b">
        <f t="shared" si="91"/>
        <v>1</v>
      </c>
    </row>
    <row r="414" spans="1:14" x14ac:dyDescent="0.3">
      <c r="A414" s="99">
        <v>45384</v>
      </c>
      <c r="B414" s="97" t="s">
        <v>219</v>
      </c>
      <c r="C414" s="19" t="s">
        <v>139</v>
      </c>
      <c r="D414" s="97" t="s">
        <v>220</v>
      </c>
      <c r="E414" s="97" t="s">
        <v>137</v>
      </c>
      <c r="F414" s="97" t="s">
        <v>123</v>
      </c>
      <c r="G414" s="97">
        <v>30</v>
      </c>
      <c r="H414" s="97">
        <v>719</v>
      </c>
      <c r="I414" s="97">
        <v>1162</v>
      </c>
      <c r="J414" s="97">
        <f t="shared" si="87"/>
        <v>21570</v>
      </c>
      <c r="K414" s="97">
        <f t="shared" si="88"/>
        <v>34860</v>
      </c>
      <c r="L414" s="97">
        <f t="shared" si="89"/>
        <v>13290</v>
      </c>
      <c r="M414" s="97" t="str">
        <f t="shared" si="90"/>
        <v>profit</v>
      </c>
      <c r="N414" s="100" t="b">
        <f t="shared" si="91"/>
        <v>1</v>
      </c>
    </row>
    <row r="415" spans="1:14" x14ac:dyDescent="0.3">
      <c r="A415" s="99">
        <v>45385</v>
      </c>
      <c r="B415" s="97" t="s">
        <v>221</v>
      </c>
      <c r="C415" s="19" t="s">
        <v>139</v>
      </c>
      <c r="D415" s="97" t="s">
        <v>220</v>
      </c>
      <c r="E415" s="97" t="s">
        <v>120</v>
      </c>
      <c r="F415" s="97" t="s">
        <v>123</v>
      </c>
      <c r="G415" s="97">
        <v>25</v>
      </c>
      <c r="H415" s="97">
        <v>980</v>
      </c>
      <c r="I415" s="97">
        <v>926</v>
      </c>
      <c r="J415" s="97">
        <f t="shared" si="87"/>
        <v>24500</v>
      </c>
      <c r="K415" s="97">
        <f t="shared" si="88"/>
        <v>23150</v>
      </c>
      <c r="L415" s="97">
        <f t="shared" si="89"/>
        <v>-1350</v>
      </c>
      <c r="M415" s="97" t="str">
        <f t="shared" si="90"/>
        <v>loss</v>
      </c>
      <c r="N415" s="100" t="b">
        <f t="shared" si="91"/>
        <v>0</v>
      </c>
    </row>
    <row r="416" spans="1:14" x14ac:dyDescent="0.3">
      <c r="A416" s="99">
        <v>45386</v>
      </c>
      <c r="B416" s="97" t="s">
        <v>223</v>
      </c>
      <c r="C416" s="19" t="s">
        <v>139</v>
      </c>
      <c r="D416" s="97" t="s">
        <v>220</v>
      </c>
      <c r="E416" s="97" t="s">
        <v>155</v>
      </c>
      <c r="F416" s="97" t="s">
        <v>123</v>
      </c>
      <c r="G416" s="97">
        <v>22</v>
      </c>
      <c r="H416" s="97">
        <v>718</v>
      </c>
      <c r="I416" s="97">
        <v>1335</v>
      </c>
      <c r="J416" s="97">
        <f t="shared" si="87"/>
        <v>15796</v>
      </c>
      <c r="K416" s="97">
        <f t="shared" si="88"/>
        <v>29370</v>
      </c>
      <c r="L416" s="97">
        <f t="shared" si="89"/>
        <v>13574</v>
      </c>
      <c r="M416" s="97" t="str">
        <f t="shared" si="90"/>
        <v>profit</v>
      </c>
      <c r="N416" s="100" t="b">
        <f t="shared" si="91"/>
        <v>0</v>
      </c>
    </row>
    <row r="417" spans="1:14" x14ac:dyDescent="0.3">
      <c r="A417" s="99">
        <v>45391</v>
      </c>
      <c r="B417" s="97" t="s">
        <v>224</v>
      </c>
      <c r="C417" s="19" t="s">
        <v>139</v>
      </c>
      <c r="D417" s="97" t="s">
        <v>140</v>
      </c>
      <c r="E417" s="97" t="s">
        <v>151</v>
      </c>
      <c r="F417" s="97" t="s">
        <v>112</v>
      </c>
      <c r="G417" s="97">
        <v>30</v>
      </c>
      <c r="H417" s="97">
        <v>520</v>
      </c>
      <c r="I417" s="97">
        <v>1251</v>
      </c>
      <c r="J417" s="97">
        <f t="shared" si="87"/>
        <v>15600</v>
      </c>
      <c r="K417" s="97">
        <f t="shared" si="88"/>
        <v>37530</v>
      </c>
      <c r="L417" s="97">
        <f t="shared" si="89"/>
        <v>21930</v>
      </c>
      <c r="M417" s="97" t="str">
        <f t="shared" si="90"/>
        <v>profit</v>
      </c>
      <c r="N417" s="100" t="b">
        <f t="shared" si="91"/>
        <v>0</v>
      </c>
    </row>
    <row r="418" spans="1:14" x14ac:dyDescent="0.3">
      <c r="A418" s="99">
        <v>45392</v>
      </c>
      <c r="B418" s="97" t="s">
        <v>225</v>
      </c>
      <c r="C418" s="19" t="s">
        <v>139</v>
      </c>
      <c r="D418" s="97" t="s">
        <v>140</v>
      </c>
      <c r="E418" s="97" t="s">
        <v>129</v>
      </c>
      <c r="F418" s="97" t="s">
        <v>112</v>
      </c>
      <c r="G418" s="97">
        <v>26</v>
      </c>
      <c r="H418" s="97">
        <v>808</v>
      </c>
      <c r="I418" s="97">
        <v>1135</v>
      </c>
      <c r="J418" s="97">
        <f t="shared" si="87"/>
        <v>21008</v>
      </c>
      <c r="K418" s="97">
        <f t="shared" si="88"/>
        <v>29510</v>
      </c>
      <c r="L418" s="97">
        <f t="shared" si="89"/>
        <v>8502</v>
      </c>
      <c r="M418" s="97" t="str">
        <f t="shared" si="90"/>
        <v>profit</v>
      </c>
      <c r="N418" s="100" t="b">
        <f t="shared" si="91"/>
        <v>1</v>
      </c>
    </row>
    <row r="419" spans="1:14" x14ac:dyDescent="0.3">
      <c r="A419" s="99">
        <v>45393</v>
      </c>
      <c r="B419" s="97" t="s">
        <v>226</v>
      </c>
      <c r="C419" s="19" t="s">
        <v>139</v>
      </c>
      <c r="D419" s="97" t="s">
        <v>140</v>
      </c>
      <c r="E419" s="97" t="s">
        <v>133</v>
      </c>
      <c r="F419" s="97" t="s">
        <v>112</v>
      </c>
      <c r="G419" s="97">
        <v>23</v>
      </c>
      <c r="H419" s="97">
        <v>504</v>
      </c>
      <c r="I419" s="97">
        <v>1328</v>
      </c>
      <c r="J419" s="97">
        <f t="shared" si="87"/>
        <v>11592</v>
      </c>
      <c r="K419" s="97">
        <f t="shared" si="88"/>
        <v>30544</v>
      </c>
      <c r="L419" s="97">
        <f t="shared" si="89"/>
        <v>18952</v>
      </c>
      <c r="M419" s="97" t="str">
        <f t="shared" si="90"/>
        <v>profit</v>
      </c>
      <c r="N419" s="100" t="b">
        <f t="shared" si="91"/>
        <v>0</v>
      </c>
    </row>
    <row r="420" spans="1:14" x14ac:dyDescent="0.3">
      <c r="A420" s="99">
        <v>45394</v>
      </c>
      <c r="B420" s="97" t="s">
        <v>228</v>
      </c>
      <c r="C420" s="19" t="s">
        <v>139</v>
      </c>
      <c r="D420" s="97" t="s">
        <v>140</v>
      </c>
      <c r="E420" s="97" t="s">
        <v>133</v>
      </c>
      <c r="F420" s="97" t="s">
        <v>112</v>
      </c>
      <c r="G420" s="97">
        <v>28</v>
      </c>
      <c r="H420" s="97">
        <v>918</v>
      </c>
      <c r="I420" s="97">
        <v>808</v>
      </c>
      <c r="J420" s="97">
        <f t="shared" si="87"/>
        <v>25704</v>
      </c>
      <c r="K420" s="97">
        <f t="shared" si="88"/>
        <v>22624</v>
      </c>
      <c r="L420" s="97">
        <f t="shared" si="89"/>
        <v>-3080</v>
      </c>
      <c r="M420" s="97" t="str">
        <f t="shared" si="90"/>
        <v>loss</v>
      </c>
      <c r="N420" s="100" t="b">
        <f t="shared" si="91"/>
        <v>0</v>
      </c>
    </row>
    <row r="421" spans="1:14" x14ac:dyDescent="0.3">
      <c r="A421" s="99">
        <v>45396</v>
      </c>
      <c r="B421" s="97" t="s">
        <v>229</v>
      </c>
      <c r="C421" s="19" t="s">
        <v>139</v>
      </c>
      <c r="D421" s="97" t="s">
        <v>140</v>
      </c>
      <c r="E421" s="97" t="s">
        <v>122</v>
      </c>
      <c r="F421" s="97" t="s">
        <v>112</v>
      </c>
      <c r="G421" s="97">
        <v>27</v>
      </c>
      <c r="H421" s="97">
        <v>966</v>
      </c>
      <c r="I421" s="97">
        <v>850</v>
      </c>
      <c r="J421" s="97">
        <f t="shared" si="87"/>
        <v>26082</v>
      </c>
      <c r="K421" s="97">
        <f t="shared" si="88"/>
        <v>22950</v>
      </c>
      <c r="L421" s="97">
        <f t="shared" si="89"/>
        <v>-3132</v>
      </c>
      <c r="M421" s="97" t="str">
        <f t="shared" si="90"/>
        <v>loss</v>
      </c>
      <c r="N421" s="100" t="b">
        <f t="shared" si="91"/>
        <v>0</v>
      </c>
    </row>
    <row r="422" spans="1:14" x14ac:dyDescent="0.3">
      <c r="A422" s="99">
        <v>45404</v>
      </c>
      <c r="B422" s="97" t="s">
        <v>231</v>
      </c>
      <c r="C422" s="19" t="s">
        <v>139</v>
      </c>
      <c r="D422" s="97" t="s">
        <v>154</v>
      </c>
      <c r="E422" s="97" t="s">
        <v>133</v>
      </c>
      <c r="F422" s="97" t="s">
        <v>123</v>
      </c>
      <c r="G422" s="97">
        <v>20</v>
      </c>
      <c r="H422" s="97">
        <v>664</v>
      </c>
      <c r="I422" s="97">
        <v>924</v>
      </c>
      <c r="J422" s="97">
        <f t="shared" si="87"/>
        <v>13280</v>
      </c>
      <c r="K422" s="97">
        <f t="shared" si="88"/>
        <v>18480</v>
      </c>
      <c r="L422" s="97">
        <f t="shared" si="89"/>
        <v>5200</v>
      </c>
      <c r="M422" s="97" t="str">
        <f t="shared" si="90"/>
        <v>profit</v>
      </c>
      <c r="N422" s="100" t="b">
        <f t="shared" si="91"/>
        <v>0</v>
      </c>
    </row>
    <row r="423" spans="1:14" x14ac:dyDescent="0.3">
      <c r="A423" s="99">
        <v>45406</v>
      </c>
      <c r="B423" s="97" t="s">
        <v>233</v>
      </c>
      <c r="C423" s="19" t="s">
        <v>139</v>
      </c>
      <c r="D423" s="97" t="s">
        <v>154</v>
      </c>
      <c r="E423" s="97" t="s">
        <v>155</v>
      </c>
      <c r="F423" s="97" t="s">
        <v>123</v>
      </c>
      <c r="G423" s="97">
        <v>26</v>
      </c>
      <c r="H423" s="97">
        <v>608</v>
      </c>
      <c r="I423" s="97">
        <v>1125</v>
      </c>
      <c r="J423" s="97">
        <f t="shared" si="87"/>
        <v>15808</v>
      </c>
      <c r="K423" s="97">
        <f t="shared" si="88"/>
        <v>29250</v>
      </c>
      <c r="L423" s="97">
        <f t="shared" si="89"/>
        <v>13442</v>
      </c>
      <c r="M423" s="97" t="str">
        <f t="shared" si="90"/>
        <v>profit</v>
      </c>
      <c r="N423" s="100" t="b">
        <f t="shared" si="91"/>
        <v>0</v>
      </c>
    </row>
    <row r="424" spans="1:14" x14ac:dyDescent="0.3">
      <c r="A424" s="99">
        <v>45475</v>
      </c>
      <c r="B424" s="97" t="s">
        <v>203</v>
      </c>
      <c r="C424" s="19" t="s">
        <v>109</v>
      </c>
      <c r="D424" s="97" t="s">
        <v>131</v>
      </c>
      <c r="E424" s="97" t="s">
        <v>137</v>
      </c>
      <c r="F424" s="97" t="s">
        <v>112</v>
      </c>
      <c r="G424" s="97">
        <v>19</v>
      </c>
      <c r="H424" s="97">
        <v>860</v>
      </c>
      <c r="I424" s="97">
        <v>1234</v>
      </c>
      <c r="J424" s="97">
        <f t="shared" si="87"/>
        <v>16340</v>
      </c>
      <c r="K424" s="97">
        <f t="shared" si="88"/>
        <v>23446</v>
      </c>
      <c r="L424" s="97">
        <f t="shared" si="89"/>
        <v>7106</v>
      </c>
      <c r="M424" s="97" t="str">
        <f t="shared" si="90"/>
        <v>profit</v>
      </c>
      <c r="N424" s="100" t="b">
        <f t="shared" si="91"/>
        <v>0</v>
      </c>
    </row>
    <row r="425" spans="1:14" x14ac:dyDescent="0.3">
      <c r="A425" s="99">
        <v>45408</v>
      </c>
      <c r="B425" s="97" t="s">
        <v>235</v>
      </c>
      <c r="C425" s="19" t="s">
        <v>139</v>
      </c>
      <c r="D425" s="97" t="s">
        <v>154</v>
      </c>
      <c r="E425" s="97" t="s">
        <v>133</v>
      </c>
      <c r="F425" s="97" t="s">
        <v>112</v>
      </c>
      <c r="G425" s="97">
        <v>24</v>
      </c>
      <c r="H425" s="97">
        <v>826</v>
      </c>
      <c r="I425" s="97">
        <v>975</v>
      </c>
      <c r="J425" s="97">
        <f t="shared" si="87"/>
        <v>19824</v>
      </c>
      <c r="K425" s="97">
        <f t="shared" si="88"/>
        <v>23400</v>
      </c>
      <c r="L425" s="97">
        <f t="shared" si="89"/>
        <v>3576</v>
      </c>
      <c r="M425" s="97" t="str">
        <f t="shared" si="90"/>
        <v>profit</v>
      </c>
      <c r="N425" s="100" t="b">
        <f t="shared" si="91"/>
        <v>0</v>
      </c>
    </row>
    <row r="426" spans="1:14" x14ac:dyDescent="0.3">
      <c r="A426" s="99">
        <v>45409</v>
      </c>
      <c r="B426" s="97" t="s">
        <v>236</v>
      </c>
      <c r="C426" s="19" t="s">
        <v>139</v>
      </c>
      <c r="D426" s="97" t="s">
        <v>154</v>
      </c>
      <c r="E426" s="97" t="s">
        <v>125</v>
      </c>
      <c r="F426" s="97" t="s">
        <v>112</v>
      </c>
      <c r="G426" s="97">
        <v>24</v>
      </c>
      <c r="H426" s="97">
        <v>877</v>
      </c>
      <c r="I426" s="97">
        <v>762</v>
      </c>
      <c r="J426" s="97">
        <f t="shared" si="87"/>
        <v>21048</v>
      </c>
      <c r="K426" s="97">
        <f t="shared" si="88"/>
        <v>18288</v>
      </c>
      <c r="L426" s="97">
        <f t="shared" si="89"/>
        <v>-2760</v>
      </c>
      <c r="M426" s="97" t="str">
        <f t="shared" si="90"/>
        <v>loss</v>
      </c>
      <c r="N426" s="100" t="b">
        <f t="shared" si="91"/>
        <v>0</v>
      </c>
    </row>
    <row r="427" spans="1:14" x14ac:dyDescent="0.3">
      <c r="A427" s="99">
        <v>45410</v>
      </c>
      <c r="B427" s="97" t="s">
        <v>237</v>
      </c>
      <c r="C427" s="19" t="s">
        <v>139</v>
      </c>
      <c r="D427" s="97" t="s">
        <v>154</v>
      </c>
      <c r="E427" s="97" t="s">
        <v>200</v>
      </c>
      <c r="F427" s="97" t="s">
        <v>112</v>
      </c>
      <c r="G427" s="97">
        <v>23</v>
      </c>
      <c r="H427" s="97">
        <v>736</v>
      </c>
      <c r="I427" s="97">
        <v>872</v>
      </c>
      <c r="J427" s="97">
        <f t="shared" si="87"/>
        <v>16928</v>
      </c>
      <c r="K427" s="97">
        <f t="shared" si="88"/>
        <v>20056</v>
      </c>
      <c r="L427" s="97">
        <f t="shared" si="89"/>
        <v>3128</v>
      </c>
      <c r="M427" s="97" t="str">
        <f t="shared" si="90"/>
        <v>profit</v>
      </c>
      <c r="N427" s="100" t="b">
        <f t="shared" si="91"/>
        <v>0</v>
      </c>
    </row>
    <row r="428" spans="1:14" x14ac:dyDescent="0.3">
      <c r="A428" s="99">
        <v>45411</v>
      </c>
      <c r="B428" s="97" t="s">
        <v>238</v>
      </c>
      <c r="C428" s="19" t="s">
        <v>139</v>
      </c>
      <c r="D428" s="97" t="s">
        <v>154</v>
      </c>
      <c r="E428" s="97" t="s">
        <v>137</v>
      </c>
      <c r="F428" s="97" t="s">
        <v>112</v>
      </c>
      <c r="G428" s="97">
        <v>27</v>
      </c>
      <c r="H428" s="97">
        <v>828</v>
      </c>
      <c r="I428" s="97">
        <v>1008</v>
      </c>
      <c r="J428" s="97">
        <f t="shared" si="87"/>
        <v>22356</v>
      </c>
      <c r="K428" s="97">
        <f t="shared" si="88"/>
        <v>27216</v>
      </c>
      <c r="L428" s="97">
        <f t="shared" si="89"/>
        <v>4860</v>
      </c>
      <c r="M428" s="97" t="str">
        <f t="shared" si="90"/>
        <v>profit</v>
      </c>
      <c r="N428" s="100" t="b">
        <f t="shared" si="91"/>
        <v>1</v>
      </c>
    </row>
    <row r="429" spans="1:14" x14ac:dyDescent="0.3">
      <c r="A429" s="99">
        <v>45412</v>
      </c>
      <c r="B429" s="97" t="s">
        <v>239</v>
      </c>
      <c r="C429" s="19" t="s">
        <v>139</v>
      </c>
      <c r="D429" s="97" t="s">
        <v>154</v>
      </c>
      <c r="E429" s="97" t="s">
        <v>240</v>
      </c>
      <c r="F429" s="97" t="s">
        <v>112</v>
      </c>
      <c r="G429" s="97">
        <v>28</v>
      </c>
      <c r="H429" s="97">
        <v>901</v>
      </c>
      <c r="I429" s="97">
        <v>1260</v>
      </c>
      <c r="J429" s="97">
        <f t="shared" si="87"/>
        <v>25228</v>
      </c>
      <c r="K429" s="97">
        <f t="shared" si="88"/>
        <v>35280</v>
      </c>
      <c r="L429" s="97">
        <f t="shared" si="89"/>
        <v>10052</v>
      </c>
      <c r="M429" s="97" t="str">
        <f t="shared" si="90"/>
        <v>profit</v>
      </c>
      <c r="N429" s="100" t="b">
        <f t="shared" si="91"/>
        <v>1</v>
      </c>
    </row>
    <row r="430" spans="1:14" x14ac:dyDescent="0.3">
      <c r="A430" s="99">
        <v>45413</v>
      </c>
      <c r="B430" s="97" t="s">
        <v>241</v>
      </c>
      <c r="C430" s="19" t="s">
        <v>139</v>
      </c>
      <c r="D430" s="97" t="s">
        <v>154</v>
      </c>
      <c r="E430" s="97" t="s">
        <v>242</v>
      </c>
      <c r="F430" s="97" t="s">
        <v>112</v>
      </c>
      <c r="G430" s="97">
        <v>28</v>
      </c>
      <c r="H430" s="97">
        <v>796</v>
      </c>
      <c r="I430" s="97">
        <v>1407</v>
      </c>
      <c r="J430" s="97">
        <f t="shared" si="87"/>
        <v>22288</v>
      </c>
      <c r="K430" s="97">
        <f t="shared" si="88"/>
        <v>39396</v>
      </c>
      <c r="L430" s="97">
        <f t="shared" si="89"/>
        <v>17108</v>
      </c>
      <c r="M430" s="97" t="str">
        <f t="shared" si="90"/>
        <v>profit</v>
      </c>
      <c r="N430" s="100" t="b">
        <f t="shared" si="91"/>
        <v>1</v>
      </c>
    </row>
    <row r="431" spans="1:14" x14ac:dyDescent="0.3">
      <c r="A431" s="99">
        <v>45414</v>
      </c>
      <c r="B431" s="97" t="s">
        <v>243</v>
      </c>
      <c r="C431" s="19" t="s">
        <v>139</v>
      </c>
      <c r="D431" s="97" t="s">
        <v>154</v>
      </c>
      <c r="E431" s="97" t="s">
        <v>111</v>
      </c>
      <c r="F431" s="97" t="s">
        <v>123</v>
      </c>
      <c r="G431" s="97">
        <v>27</v>
      </c>
      <c r="H431" s="97">
        <v>794</v>
      </c>
      <c r="I431" s="97">
        <v>905</v>
      </c>
      <c r="J431" s="97">
        <f t="shared" si="87"/>
        <v>21438</v>
      </c>
      <c r="K431" s="97">
        <f t="shared" si="88"/>
        <v>24435</v>
      </c>
      <c r="L431" s="97">
        <f t="shared" si="89"/>
        <v>2997</v>
      </c>
      <c r="M431" s="97" t="str">
        <f t="shared" si="90"/>
        <v>profit</v>
      </c>
      <c r="N431" s="100" t="b">
        <f t="shared" si="91"/>
        <v>1</v>
      </c>
    </row>
    <row r="432" spans="1:14" x14ac:dyDescent="0.3">
      <c r="A432" s="99">
        <v>45415</v>
      </c>
      <c r="B432" s="97" t="s">
        <v>244</v>
      </c>
      <c r="C432" s="19" t="s">
        <v>139</v>
      </c>
      <c r="D432" s="97" t="s">
        <v>154</v>
      </c>
      <c r="E432" s="97" t="s">
        <v>115</v>
      </c>
      <c r="F432" s="97" t="s">
        <v>123</v>
      </c>
      <c r="G432" s="97">
        <v>20</v>
      </c>
      <c r="H432" s="97">
        <v>812</v>
      </c>
      <c r="I432" s="97">
        <v>1248</v>
      </c>
      <c r="J432" s="97">
        <f t="shared" si="87"/>
        <v>16240</v>
      </c>
      <c r="K432" s="97">
        <f t="shared" si="88"/>
        <v>24960</v>
      </c>
      <c r="L432" s="97">
        <f t="shared" si="89"/>
        <v>8720</v>
      </c>
      <c r="M432" s="97" t="str">
        <f t="shared" si="90"/>
        <v>profit</v>
      </c>
      <c r="N432" s="100" t="b">
        <f t="shared" si="91"/>
        <v>0</v>
      </c>
    </row>
    <row r="433" spans="1:14" x14ac:dyDescent="0.3">
      <c r="A433" s="99">
        <v>45416</v>
      </c>
      <c r="B433" s="97" t="s">
        <v>245</v>
      </c>
      <c r="C433" s="19" t="s">
        <v>139</v>
      </c>
      <c r="D433" s="97" t="s">
        <v>154</v>
      </c>
      <c r="E433" s="97" t="s">
        <v>118</v>
      </c>
      <c r="F433" s="97" t="s">
        <v>123</v>
      </c>
      <c r="G433" s="97">
        <v>20</v>
      </c>
      <c r="H433" s="97">
        <v>908</v>
      </c>
      <c r="I433" s="97">
        <v>1130</v>
      </c>
      <c r="J433" s="97">
        <f t="shared" si="87"/>
        <v>18160</v>
      </c>
      <c r="K433" s="97">
        <f t="shared" si="88"/>
        <v>22600</v>
      </c>
      <c r="L433" s="97">
        <f t="shared" si="89"/>
        <v>4440</v>
      </c>
      <c r="M433" s="97" t="str">
        <f t="shared" si="90"/>
        <v>profit</v>
      </c>
      <c r="N433" s="100" t="b">
        <f t="shared" si="91"/>
        <v>0</v>
      </c>
    </row>
    <row r="434" spans="1:14" x14ac:dyDescent="0.3">
      <c r="A434" s="99">
        <v>45417</v>
      </c>
      <c r="B434" s="97" t="s">
        <v>246</v>
      </c>
      <c r="C434" s="19" t="s">
        <v>139</v>
      </c>
      <c r="D434" s="97" t="s">
        <v>154</v>
      </c>
      <c r="E434" s="97" t="s">
        <v>120</v>
      </c>
      <c r="F434" s="97" t="s">
        <v>123</v>
      </c>
      <c r="G434" s="97">
        <v>23</v>
      </c>
      <c r="H434" s="97">
        <v>846</v>
      </c>
      <c r="I434" s="97">
        <v>1143</v>
      </c>
      <c r="J434" s="97">
        <f t="shared" si="87"/>
        <v>19458</v>
      </c>
      <c r="K434" s="97">
        <f t="shared" si="88"/>
        <v>26289</v>
      </c>
      <c r="L434" s="97">
        <f t="shared" si="89"/>
        <v>6831</v>
      </c>
      <c r="M434" s="97" t="str">
        <f t="shared" si="90"/>
        <v>profit</v>
      </c>
      <c r="N434" s="100" t="b">
        <f t="shared" si="91"/>
        <v>0</v>
      </c>
    </row>
    <row r="435" spans="1:14" x14ac:dyDescent="0.3">
      <c r="A435" s="99">
        <v>45418</v>
      </c>
      <c r="B435" s="97" t="s">
        <v>247</v>
      </c>
      <c r="C435" s="19" t="s">
        <v>139</v>
      </c>
      <c r="D435" s="97" t="s">
        <v>154</v>
      </c>
      <c r="E435" s="97" t="s">
        <v>120</v>
      </c>
      <c r="F435" s="97" t="s">
        <v>112</v>
      </c>
      <c r="G435" s="97">
        <v>25</v>
      </c>
      <c r="H435" s="97">
        <v>627</v>
      </c>
      <c r="I435" s="97">
        <v>1071</v>
      </c>
      <c r="J435" s="97">
        <f t="shared" si="87"/>
        <v>15675</v>
      </c>
      <c r="K435" s="97">
        <f t="shared" si="88"/>
        <v>26775</v>
      </c>
      <c r="L435" s="97">
        <f t="shared" si="89"/>
        <v>11100</v>
      </c>
      <c r="M435" s="97" t="str">
        <f t="shared" si="90"/>
        <v>profit</v>
      </c>
      <c r="N435" s="100" t="b">
        <f t="shared" si="91"/>
        <v>0</v>
      </c>
    </row>
    <row r="436" spans="1:14" x14ac:dyDescent="0.3">
      <c r="A436" s="99">
        <v>45419</v>
      </c>
      <c r="B436" s="97" t="s">
        <v>250</v>
      </c>
      <c r="C436" s="19" t="s">
        <v>139</v>
      </c>
      <c r="D436" s="97" t="s">
        <v>205</v>
      </c>
      <c r="E436" s="97" t="s">
        <v>122</v>
      </c>
      <c r="F436" s="97" t="s">
        <v>112</v>
      </c>
      <c r="G436" s="97">
        <v>27</v>
      </c>
      <c r="H436" s="97">
        <v>817</v>
      </c>
      <c r="I436" s="97">
        <v>977</v>
      </c>
      <c r="J436" s="97">
        <f t="shared" si="87"/>
        <v>22059</v>
      </c>
      <c r="K436" s="97">
        <f t="shared" si="88"/>
        <v>26379</v>
      </c>
      <c r="L436" s="97">
        <f t="shared" si="89"/>
        <v>4320</v>
      </c>
      <c r="M436" s="97" t="str">
        <f t="shared" si="90"/>
        <v>profit</v>
      </c>
      <c r="N436" s="100" t="b">
        <f t="shared" si="91"/>
        <v>1</v>
      </c>
    </row>
    <row r="437" spans="1:14" x14ac:dyDescent="0.3">
      <c r="A437" s="99">
        <v>45488</v>
      </c>
      <c r="B437" s="97" t="s">
        <v>204</v>
      </c>
      <c r="C437" s="19" t="s">
        <v>139</v>
      </c>
      <c r="D437" s="97" t="s">
        <v>205</v>
      </c>
      <c r="E437" s="97" t="s">
        <v>133</v>
      </c>
      <c r="F437" s="97" t="s">
        <v>112</v>
      </c>
      <c r="G437" s="97">
        <v>29</v>
      </c>
      <c r="H437" s="97">
        <v>929</v>
      </c>
      <c r="I437" s="97">
        <v>1429</v>
      </c>
      <c r="J437" s="97">
        <f t="shared" si="87"/>
        <v>26941</v>
      </c>
      <c r="K437" s="97">
        <f t="shared" si="88"/>
        <v>41441</v>
      </c>
      <c r="L437" s="97">
        <f t="shared" si="89"/>
        <v>14500</v>
      </c>
      <c r="M437" s="97" t="str">
        <f t="shared" si="90"/>
        <v>profit</v>
      </c>
      <c r="N437" s="100" t="b">
        <f t="shared" si="91"/>
        <v>1</v>
      </c>
    </row>
    <row r="438" spans="1:14" x14ac:dyDescent="0.3">
      <c r="A438" s="99">
        <v>45420</v>
      </c>
      <c r="B438" s="97" t="s">
        <v>251</v>
      </c>
      <c r="C438" s="19" t="s">
        <v>139</v>
      </c>
      <c r="D438" s="97" t="s">
        <v>205</v>
      </c>
      <c r="E438" s="97" t="s">
        <v>125</v>
      </c>
      <c r="F438" s="97" t="s">
        <v>112</v>
      </c>
      <c r="G438" s="97">
        <v>27</v>
      </c>
      <c r="H438" s="97">
        <v>675</v>
      </c>
      <c r="I438" s="97">
        <v>1138</v>
      </c>
      <c r="J438" s="97">
        <f t="shared" si="87"/>
        <v>18225</v>
      </c>
      <c r="K438" s="97">
        <f t="shared" si="88"/>
        <v>30726</v>
      </c>
      <c r="L438" s="97">
        <f t="shared" si="89"/>
        <v>12501</v>
      </c>
      <c r="M438" s="97" t="str">
        <f t="shared" si="90"/>
        <v>profit</v>
      </c>
      <c r="N438" s="100" t="b">
        <f t="shared" si="91"/>
        <v>0</v>
      </c>
    </row>
    <row r="439" spans="1:14" x14ac:dyDescent="0.3">
      <c r="A439" s="99">
        <v>45421</v>
      </c>
      <c r="B439" s="97" t="s">
        <v>253</v>
      </c>
      <c r="C439" s="19" t="s">
        <v>139</v>
      </c>
      <c r="D439" s="97" t="s">
        <v>205</v>
      </c>
      <c r="E439" s="97" t="s">
        <v>120</v>
      </c>
      <c r="F439" s="97" t="s">
        <v>112</v>
      </c>
      <c r="G439" s="97">
        <v>22</v>
      </c>
      <c r="H439" s="97">
        <v>695</v>
      </c>
      <c r="I439" s="97">
        <v>830</v>
      </c>
      <c r="J439" s="97">
        <f t="shared" si="87"/>
        <v>15290</v>
      </c>
      <c r="K439" s="97">
        <f t="shared" si="88"/>
        <v>18260</v>
      </c>
      <c r="L439" s="97">
        <f t="shared" si="89"/>
        <v>2970</v>
      </c>
      <c r="M439" s="97" t="str">
        <f t="shared" si="90"/>
        <v>profit</v>
      </c>
      <c r="N439" s="100" t="b">
        <f t="shared" si="91"/>
        <v>0</v>
      </c>
    </row>
    <row r="440" spans="1:14" x14ac:dyDescent="0.3">
      <c r="A440" s="99">
        <v>45422</v>
      </c>
      <c r="B440" s="97" t="s">
        <v>254</v>
      </c>
      <c r="C440" s="19" t="s">
        <v>139</v>
      </c>
      <c r="D440" s="97" t="s">
        <v>205</v>
      </c>
      <c r="E440" s="97" t="s">
        <v>166</v>
      </c>
      <c r="F440" s="97" t="s">
        <v>112</v>
      </c>
      <c r="G440" s="97">
        <v>21</v>
      </c>
      <c r="H440" s="97">
        <v>781</v>
      </c>
      <c r="I440" s="97">
        <v>816</v>
      </c>
      <c r="J440" s="97">
        <f t="shared" si="87"/>
        <v>16401</v>
      </c>
      <c r="K440" s="97">
        <f t="shared" si="88"/>
        <v>17136</v>
      </c>
      <c r="L440" s="97">
        <f t="shared" si="89"/>
        <v>735</v>
      </c>
      <c r="M440" s="97" t="str">
        <f t="shared" si="90"/>
        <v>profit</v>
      </c>
      <c r="N440" s="100" t="b">
        <f t="shared" si="91"/>
        <v>0</v>
      </c>
    </row>
    <row r="441" spans="1:14" x14ac:dyDescent="0.3">
      <c r="A441" s="99">
        <v>45423</v>
      </c>
      <c r="B441" s="97" t="s">
        <v>255</v>
      </c>
      <c r="C441" s="19" t="s">
        <v>139</v>
      </c>
      <c r="D441" s="97" t="s">
        <v>205</v>
      </c>
      <c r="E441" s="97" t="s">
        <v>161</v>
      </c>
      <c r="F441" s="97" t="s">
        <v>112</v>
      </c>
      <c r="G441" s="97">
        <v>25</v>
      </c>
      <c r="H441" s="97">
        <v>517</v>
      </c>
      <c r="I441" s="97">
        <v>939</v>
      </c>
      <c r="J441" s="97">
        <f t="shared" si="87"/>
        <v>12925</v>
      </c>
      <c r="K441" s="97">
        <f t="shared" si="88"/>
        <v>23475</v>
      </c>
      <c r="L441" s="97">
        <f t="shared" si="89"/>
        <v>10550</v>
      </c>
      <c r="M441" s="97" t="str">
        <f t="shared" si="90"/>
        <v>profit</v>
      </c>
      <c r="N441" s="100" t="b">
        <f t="shared" si="91"/>
        <v>0</v>
      </c>
    </row>
    <row r="442" spans="1:14" x14ac:dyDescent="0.3">
      <c r="A442" s="99">
        <v>45424</v>
      </c>
      <c r="B442" s="97" t="s">
        <v>256</v>
      </c>
      <c r="C442" s="19" t="s">
        <v>139</v>
      </c>
      <c r="D442" s="97" t="s">
        <v>205</v>
      </c>
      <c r="E442" s="97" t="s">
        <v>137</v>
      </c>
      <c r="F442" s="97" t="s">
        <v>112</v>
      </c>
      <c r="G442" s="97">
        <v>24</v>
      </c>
      <c r="H442" s="97">
        <v>730</v>
      </c>
      <c r="I442" s="97">
        <v>886</v>
      </c>
      <c r="J442" s="97">
        <f t="shared" si="87"/>
        <v>17520</v>
      </c>
      <c r="K442" s="97">
        <f t="shared" si="88"/>
        <v>21264</v>
      </c>
      <c r="L442" s="97">
        <f t="shared" si="89"/>
        <v>3744</v>
      </c>
      <c r="M442" s="97" t="str">
        <f t="shared" si="90"/>
        <v>profit</v>
      </c>
      <c r="N442" s="100" t="b">
        <f t="shared" si="91"/>
        <v>0</v>
      </c>
    </row>
    <row r="443" spans="1:14" x14ac:dyDescent="0.3">
      <c r="A443" s="99">
        <v>45425</v>
      </c>
      <c r="B443" s="97" t="s">
        <v>258</v>
      </c>
      <c r="C443" s="19" t="s">
        <v>139</v>
      </c>
      <c r="D443" s="97" t="s">
        <v>205</v>
      </c>
      <c r="E443" s="97" t="s">
        <v>120</v>
      </c>
      <c r="F443" s="97" t="s">
        <v>112</v>
      </c>
      <c r="G443" s="97">
        <v>23</v>
      </c>
      <c r="H443" s="97">
        <v>811</v>
      </c>
      <c r="I443" s="97">
        <v>1142</v>
      </c>
      <c r="J443" s="97">
        <f t="shared" si="87"/>
        <v>18653</v>
      </c>
      <c r="K443" s="97">
        <f t="shared" si="88"/>
        <v>26266</v>
      </c>
      <c r="L443" s="97">
        <f t="shared" si="89"/>
        <v>7613</v>
      </c>
      <c r="M443" s="97" t="str">
        <f t="shared" si="90"/>
        <v>profit</v>
      </c>
      <c r="N443" s="100" t="b">
        <f t="shared" si="91"/>
        <v>0</v>
      </c>
    </row>
    <row r="444" spans="1:14" x14ac:dyDescent="0.3">
      <c r="A444" s="99">
        <v>45426</v>
      </c>
      <c r="B444" s="97" t="s">
        <v>259</v>
      </c>
      <c r="C444" s="19" t="s">
        <v>139</v>
      </c>
      <c r="D444" s="97" t="s">
        <v>205</v>
      </c>
      <c r="E444" s="97" t="s">
        <v>155</v>
      </c>
      <c r="F444" s="97" t="s">
        <v>112</v>
      </c>
      <c r="G444" s="97">
        <v>21</v>
      </c>
      <c r="H444" s="97">
        <v>967</v>
      </c>
      <c r="I444" s="97">
        <v>888</v>
      </c>
      <c r="J444" s="97">
        <f t="shared" si="87"/>
        <v>20307</v>
      </c>
      <c r="K444" s="97">
        <f t="shared" si="88"/>
        <v>18648</v>
      </c>
      <c r="L444" s="97">
        <f t="shared" si="89"/>
        <v>-1659</v>
      </c>
      <c r="M444" s="97" t="str">
        <f t="shared" si="90"/>
        <v>loss</v>
      </c>
      <c r="N444" s="100" t="b">
        <f t="shared" si="91"/>
        <v>0</v>
      </c>
    </row>
    <row r="445" spans="1:14" x14ac:dyDescent="0.3">
      <c r="A445" s="99">
        <v>45427</v>
      </c>
      <c r="B445" s="97" t="s">
        <v>260</v>
      </c>
      <c r="C445" s="19" t="s">
        <v>139</v>
      </c>
      <c r="D445" s="97" t="s">
        <v>205</v>
      </c>
      <c r="E445" s="97" t="s">
        <v>166</v>
      </c>
      <c r="F445" s="97" t="s">
        <v>112</v>
      </c>
      <c r="G445" s="97">
        <v>29</v>
      </c>
      <c r="H445" s="97">
        <v>655</v>
      </c>
      <c r="I445" s="97">
        <v>950</v>
      </c>
      <c r="J445" s="97">
        <f t="shared" si="87"/>
        <v>18995</v>
      </c>
      <c r="K445" s="97">
        <f t="shared" si="88"/>
        <v>27550</v>
      </c>
      <c r="L445" s="97">
        <f t="shared" si="89"/>
        <v>8555</v>
      </c>
      <c r="M445" s="97" t="str">
        <f t="shared" si="90"/>
        <v>profit</v>
      </c>
      <c r="N445" s="100" t="b">
        <f t="shared" si="91"/>
        <v>0</v>
      </c>
    </row>
    <row r="446" spans="1:14" x14ac:dyDescent="0.3">
      <c r="A446" s="99">
        <v>45428</v>
      </c>
      <c r="B446" s="97" t="s">
        <v>262</v>
      </c>
      <c r="C446" s="19" t="s">
        <v>139</v>
      </c>
      <c r="D446" s="97" t="s">
        <v>205</v>
      </c>
      <c r="E446" s="97" t="s">
        <v>168</v>
      </c>
      <c r="F446" s="97" t="s">
        <v>123</v>
      </c>
      <c r="G446" s="97">
        <v>30</v>
      </c>
      <c r="H446" s="97">
        <v>616</v>
      </c>
      <c r="I446" s="97">
        <v>804</v>
      </c>
      <c r="J446" s="97">
        <f t="shared" si="87"/>
        <v>18480</v>
      </c>
      <c r="K446" s="97">
        <f t="shared" si="88"/>
        <v>24120</v>
      </c>
      <c r="L446" s="97">
        <f t="shared" si="89"/>
        <v>5640</v>
      </c>
      <c r="M446" s="97" t="str">
        <f t="shared" si="90"/>
        <v>profit</v>
      </c>
      <c r="N446" s="100" t="b">
        <f t="shared" si="91"/>
        <v>0</v>
      </c>
    </row>
    <row r="447" spans="1:14" x14ac:dyDescent="0.3">
      <c r="A447" s="99">
        <v>45429</v>
      </c>
      <c r="B447" s="97" t="s">
        <v>264</v>
      </c>
      <c r="C447" s="19" t="s">
        <v>139</v>
      </c>
      <c r="D447" s="97" t="s">
        <v>205</v>
      </c>
      <c r="E447" s="97" t="s">
        <v>129</v>
      </c>
      <c r="F447" s="97" t="s">
        <v>123</v>
      </c>
      <c r="G447" s="97">
        <v>30</v>
      </c>
      <c r="H447" s="97">
        <v>709</v>
      </c>
      <c r="I447" s="97">
        <v>1209</v>
      </c>
      <c r="J447" s="97">
        <f t="shared" si="87"/>
        <v>21270</v>
      </c>
      <c r="K447" s="97">
        <f t="shared" si="88"/>
        <v>36270</v>
      </c>
      <c r="L447" s="97">
        <f t="shared" si="89"/>
        <v>15000</v>
      </c>
      <c r="M447" s="97" t="str">
        <f t="shared" si="90"/>
        <v>profit</v>
      </c>
      <c r="N447" s="100" t="b">
        <f t="shared" si="91"/>
        <v>1</v>
      </c>
    </row>
    <row r="448" spans="1:14" x14ac:dyDescent="0.3">
      <c r="A448" s="99">
        <v>45430</v>
      </c>
      <c r="B448" s="97" t="s">
        <v>265</v>
      </c>
      <c r="C448" s="19" t="s">
        <v>139</v>
      </c>
      <c r="D448" s="97" t="s">
        <v>205</v>
      </c>
      <c r="E448" s="97" t="s">
        <v>137</v>
      </c>
      <c r="F448" s="97" t="s">
        <v>123</v>
      </c>
      <c r="G448" s="97">
        <v>23</v>
      </c>
      <c r="H448" s="97">
        <v>875</v>
      </c>
      <c r="I448" s="97">
        <v>843</v>
      </c>
      <c r="J448" s="97">
        <f t="shared" si="87"/>
        <v>20125</v>
      </c>
      <c r="K448" s="97">
        <f t="shared" si="88"/>
        <v>19389</v>
      </c>
      <c r="L448" s="97">
        <f t="shared" si="89"/>
        <v>-736</v>
      </c>
      <c r="M448" s="97" t="str">
        <f t="shared" si="90"/>
        <v>loss</v>
      </c>
      <c r="N448" s="100" t="b">
        <f t="shared" si="91"/>
        <v>0</v>
      </c>
    </row>
    <row r="449" spans="1:14" x14ac:dyDescent="0.3">
      <c r="A449" s="99">
        <v>45484</v>
      </c>
      <c r="B449" s="97" t="s">
        <v>266</v>
      </c>
      <c r="C449" s="19" t="s">
        <v>139</v>
      </c>
      <c r="D449" s="97" t="s">
        <v>205</v>
      </c>
      <c r="E449" s="97" t="s">
        <v>133</v>
      </c>
      <c r="F449" s="97" t="s">
        <v>123</v>
      </c>
      <c r="G449" s="97">
        <v>26</v>
      </c>
      <c r="H449" s="97">
        <v>766</v>
      </c>
      <c r="I449" s="97">
        <v>836</v>
      </c>
      <c r="J449" s="97">
        <f t="shared" ref="J449:J499" si="92">G449*H449</f>
        <v>19916</v>
      </c>
      <c r="K449" s="97">
        <f t="shared" ref="K449:K499" si="93">G449*I449</f>
        <v>21736</v>
      </c>
      <c r="L449" s="97">
        <f t="shared" ref="L449:L499" si="94">K449-J449</f>
        <v>1820</v>
      </c>
      <c r="M449" s="97" t="str">
        <f t="shared" si="90"/>
        <v>profit</v>
      </c>
      <c r="N449" s="100" t="b">
        <f t="shared" si="91"/>
        <v>0</v>
      </c>
    </row>
    <row r="450" spans="1:14" x14ac:dyDescent="0.3">
      <c r="A450" s="99">
        <v>45485</v>
      </c>
      <c r="B450" s="97" t="s">
        <v>267</v>
      </c>
      <c r="C450" s="19" t="s">
        <v>139</v>
      </c>
      <c r="D450" s="97" t="s">
        <v>205</v>
      </c>
      <c r="E450" s="97" t="s">
        <v>155</v>
      </c>
      <c r="F450" s="97" t="s">
        <v>123</v>
      </c>
      <c r="G450" s="97">
        <v>23</v>
      </c>
      <c r="H450" s="97">
        <v>589</v>
      </c>
      <c r="I450" s="97">
        <v>982</v>
      </c>
      <c r="J450" s="97">
        <f t="shared" si="92"/>
        <v>13547</v>
      </c>
      <c r="K450" s="97">
        <f t="shared" si="93"/>
        <v>22586</v>
      </c>
      <c r="L450" s="97">
        <f t="shared" si="94"/>
        <v>9039</v>
      </c>
      <c r="M450" s="97" t="str">
        <f t="shared" ref="M450:M499" si="95">IF(L450&gt;0,"profit","loss")</f>
        <v>profit</v>
      </c>
      <c r="N450" s="100" t="b">
        <f t="shared" ref="N450:N499" si="96">AND(L450&gt;0,J450&gt;20000)</f>
        <v>0</v>
      </c>
    </row>
    <row r="451" spans="1:14" x14ac:dyDescent="0.3">
      <c r="A451" s="99">
        <v>45486</v>
      </c>
      <c r="B451" s="97" t="s">
        <v>268</v>
      </c>
      <c r="C451" s="19" t="s">
        <v>139</v>
      </c>
      <c r="D451" s="97" t="s">
        <v>205</v>
      </c>
      <c r="E451" s="97" t="s">
        <v>155</v>
      </c>
      <c r="F451" s="97" t="s">
        <v>123</v>
      </c>
      <c r="G451" s="97">
        <v>24</v>
      </c>
      <c r="H451" s="97">
        <v>718</v>
      </c>
      <c r="I451" s="97">
        <v>1218</v>
      </c>
      <c r="J451" s="97">
        <f t="shared" si="92"/>
        <v>17232</v>
      </c>
      <c r="K451" s="97">
        <f t="shared" si="93"/>
        <v>29232</v>
      </c>
      <c r="L451" s="97">
        <f t="shared" si="94"/>
        <v>12000</v>
      </c>
      <c r="M451" s="97" t="str">
        <f t="shared" si="95"/>
        <v>profit</v>
      </c>
      <c r="N451" s="100" t="b">
        <f t="shared" si="96"/>
        <v>0</v>
      </c>
    </row>
    <row r="452" spans="1:14" x14ac:dyDescent="0.3">
      <c r="A452" s="99">
        <v>45487</v>
      </c>
      <c r="B452" s="97" t="s">
        <v>269</v>
      </c>
      <c r="C452" s="19" t="s">
        <v>139</v>
      </c>
      <c r="D452" s="97" t="s">
        <v>205</v>
      </c>
      <c r="E452" s="97" t="s">
        <v>151</v>
      </c>
      <c r="F452" s="97" t="s">
        <v>123</v>
      </c>
      <c r="G452" s="97">
        <v>22</v>
      </c>
      <c r="H452" s="97">
        <v>877</v>
      </c>
      <c r="I452" s="97">
        <v>1120</v>
      </c>
      <c r="J452" s="97">
        <f t="shared" si="92"/>
        <v>19294</v>
      </c>
      <c r="K452" s="97">
        <f t="shared" si="93"/>
        <v>24640</v>
      </c>
      <c r="L452" s="97">
        <f t="shared" si="94"/>
        <v>5346</v>
      </c>
      <c r="M452" s="97" t="str">
        <f t="shared" si="95"/>
        <v>profit</v>
      </c>
      <c r="N452" s="100" t="b">
        <f t="shared" si="96"/>
        <v>0</v>
      </c>
    </row>
    <row r="453" spans="1:14" x14ac:dyDescent="0.3">
      <c r="A453" s="99">
        <v>45489</v>
      </c>
      <c r="B453" s="97" t="s">
        <v>270</v>
      </c>
      <c r="C453" s="19" t="s">
        <v>139</v>
      </c>
      <c r="D453" s="97" t="s">
        <v>205</v>
      </c>
      <c r="E453" s="97" t="s">
        <v>125</v>
      </c>
      <c r="F453" s="97" t="s">
        <v>112</v>
      </c>
      <c r="G453" s="97">
        <v>23</v>
      </c>
      <c r="H453" s="97">
        <v>641</v>
      </c>
      <c r="I453" s="97">
        <v>1445</v>
      </c>
      <c r="J453" s="97">
        <f t="shared" si="92"/>
        <v>14743</v>
      </c>
      <c r="K453" s="97">
        <f t="shared" si="93"/>
        <v>33235</v>
      </c>
      <c r="L453" s="97">
        <f t="shared" si="94"/>
        <v>18492</v>
      </c>
      <c r="M453" s="97" t="str">
        <f t="shared" si="95"/>
        <v>profit</v>
      </c>
      <c r="N453" s="100" t="b">
        <f t="shared" si="96"/>
        <v>0</v>
      </c>
    </row>
    <row r="454" spans="1:14" x14ac:dyDescent="0.3">
      <c r="A454" s="99">
        <v>45490</v>
      </c>
      <c r="B454" s="97" t="s">
        <v>271</v>
      </c>
      <c r="C454" s="19" t="s">
        <v>139</v>
      </c>
      <c r="D454" s="97" t="s">
        <v>205</v>
      </c>
      <c r="E454" s="97" t="s">
        <v>200</v>
      </c>
      <c r="F454" s="97" t="s">
        <v>112</v>
      </c>
      <c r="G454" s="97">
        <v>30</v>
      </c>
      <c r="H454" s="97">
        <v>916</v>
      </c>
      <c r="I454" s="97">
        <v>1497</v>
      </c>
      <c r="J454" s="97">
        <f t="shared" si="92"/>
        <v>27480</v>
      </c>
      <c r="K454" s="97">
        <f t="shared" si="93"/>
        <v>44910</v>
      </c>
      <c r="L454" s="97">
        <f t="shared" si="94"/>
        <v>17430</v>
      </c>
      <c r="M454" s="97" t="str">
        <f t="shared" si="95"/>
        <v>profit</v>
      </c>
      <c r="N454" s="100" t="b">
        <f t="shared" si="96"/>
        <v>1</v>
      </c>
    </row>
    <row r="455" spans="1:14" x14ac:dyDescent="0.3">
      <c r="A455" s="99">
        <v>45491</v>
      </c>
      <c r="B455" s="97" t="s">
        <v>272</v>
      </c>
      <c r="C455" s="19" t="s">
        <v>139</v>
      </c>
      <c r="D455" s="97" t="s">
        <v>205</v>
      </c>
      <c r="E455" s="97" t="s">
        <v>137</v>
      </c>
      <c r="F455" s="97" t="s">
        <v>112</v>
      </c>
      <c r="G455" s="97">
        <v>28</v>
      </c>
      <c r="H455" s="97">
        <v>588</v>
      </c>
      <c r="I455" s="97">
        <v>784</v>
      </c>
      <c r="J455" s="97">
        <f t="shared" si="92"/>
        <v>16464</v>
      </c>
      <c r="K455" s="97">
        <f t="shared" si="93"/>
        <v>21952</v>
      </c>
      <c r="L455" s="97">
        <f t="shared" si="94"/>
        <v>5488</v>
      </c>
      <c r="M455" s="97" t="str">
        <f t="shared" si="95"/>
        <v>profit</v>
      </c>
      <c r="N455" s="100" t="b">
        <f t="shared" si="96"/>
        <v>0</v>
      </c>
    </row>
    <row r="456" spans="1:14" x14ac:dyDescent="0.3">
      <c r="A456" s="99">
        <v>45507</v>
      </c>
      <c r="B456" s="97" t="s">
        <v>206</v>
      </c>
      <c r="C456" s="19" t="s">
        <v>127</v>
      </c>
      <c r="D456" s="97" t="s">
        <v>207</v>
      </c>
      <c r="E456" s="97" t="s">
        <v>166</v>
      </c>
      <c r="F456" s="97" t="s">
        <v>123</v>
      </c>
      <c r="G456" s="97">
        <v>60</v>
      </c>
      <c r="H456" s="97">
        <v>642</v>
      </c>
      <c r="I456" s="97">
        <v>1497</v>
      </c>
      <c r="J456" s="97">
        <f t="shared" si="92"/>
        <v>38520</v>
      </c>
      <c r="K456" s="97">
        <f t="shared" si="93"/>
        <v>89820</v>
      </c>
      <c r="L456" s="97">
        <f t="shared" si="94"/>
        <v>51300</v>
      </c>
      <c r="M456" s="97" t="str">
        <f t="shared" si="95"/>
        <v>profit</v>
      </c>
      <c r="N456" s="100" t="b">
        <f t="shared" si="96"/>
        <v>1</v>
      </c>
    </row>
    <row r="457" spans="1:14" x14ac:dyDescent="0.3">
      <c r="A457" s="99">
        <v>45492</v>
      </c>
      <c r="B457" s="97" t="s">
        <v>274</v>
      </c>
      <c r="C457" s="19" t="s">
        <v>139</v>
      </c>
      <c r="D457" s="97" t="s">
        <v>205</v>
      </c>
      <c r="E457" s="97" t="s">
        <v>240</v>
      </c>
      <c r="F457" s="97" t="s">
        <v>112</v>
      </c>
      <c r="G457" s="97">
        <v>26</v>
      </c>
      <c r="H457" s="97">
        <v>969</v>
      </c>
      <c r="I457" s="97">
        <v>1087</v>
      </c>
      <c r="J457" s="97">
        <f t="shared" si="92"/>
        <v>25194</v>
      </c>
      <c r="K457" s="97">
        <f t="shared" si="93"/>
        <v>28262</v>
      </c>
      <c r="L457" s="97">
        <f t="shared" si="94"/>
        <v>3068</v>
      </c>
      <c r="M457" s="97" t="str">
        <f t="shared" si="95"/>
        <v>profit</v>
      </c>
      <c r="N457" s="100" t="b">
        <f t="shared" si="96"/>
        <v>1</v>
      </c>
    </row>
    <row r="458" spans="1:14" x14ac:dyDescent="0.3">
      <c r="A458" s="99">
        <v>45493</v>
      </c>
      <c r="B458" s="97" t="s">
        <v>275</v>
      </c>
      <c r="C458" s="19" t="s">
        <v>139</v>
      </c>
      <c r="D458" s="97" t="s">
        <v>205</v>
      </c>
      <c r="E458" s="97" t="s">
        <v>242</v>
      </c>
      <c r="F458" s="97" t="s">
        <v>112</v>
      </c>
      <c r="G458" s="97">
        <v>25</v>
      </c>
      <c r="H458" s="97">
        <v>839</v>
      </c>
      <c r="I458" s="97">
        <v>1233</v>
      </c>
      <c r="J458" s="97">
        <f t="shared" si="92"/>
        <v>20975</v>
      </c>
      <c r="K458" s="97">
        <f t="shared" si="93"/>
        <v>30825</v>
      </c>
      <c r="L458" s="97">
        <f t="shared" si="94"/>
        <v>9850</v>
      </c>
      <c r="M458" s="97" t="str">
        <f t="shared" si="95"/>
        <v>profit</v>
      </c>
      <c r="N458" s="100" t="b">
        <f t="shared" si="96"/>
        <v>1</v>
      </c>
    </row>
    <row r="459" spans="1:14" x14ac:dyDescent="0.3">
      <c r="A459" s="99">
        <v>45494</v>
      </c>
      <c r="B459" s="97" t="s">
        <v>277</v>
      </c>
      <c r="C459" s="19" t="s">
        <v>139</v>
      </c>
      <c r="D459" s="97" t="s">
        <v>205</v>
      </c>
      <c r="E459" s="97" t="s">
        <v>111</v>
      </c>
      <c r="F459" s="97" t="s">
        <v>112</v>
      </c>
      <c r="G459" s="97">
        <v>25</v>
      </c>
      <c r="H459" s="97">
        <v>536</v>
      </c>
      <c r="I459" s="97">
        <v>1407</v>
      </c>
      <c r="J459" s="97">
        <f t="shared" si="92"/>
        <v>13400</v>
      </c>
      <c r="K459" s="97">
        <f t="shared" si="93"/>
        <v>35175</v>
      </c>
      <c r="L459" s="97">
        <f t="shared" si="94"/>
        <v>21775</v>
      </c>
      <c r="M459" s="97" t="str">
        <f t="shared" si="95"/>
        <v>profit</v>
      </c>
      <c r="N459" s="100" t="b">
        <f t="shared" si="96"/>
        <v>0</v>
      </c>
    </row>
    <row r="460" spans="1:14" x14ac:dyDescent="0.3">
      <c r="A460" s="99">
        <v>45517</v>
      </c>
      <c r="B460" s="97" t="s">
        <v>278</v>
      </c>
      <c r="C460" s="19" t="s">
        <v>139</v>
      </c>
      <c r="D460" s="97" t="s">
        <v>205</v>
      </c>
      <c r="E460" s="97" t="s">
        <v>137</v>
      </c>
      <c r="F460" s="97" t="s">
        <v>123</v>
      </c>
      <c r="G460" s="97">
        <v>27</v>
      </c>
      <c r="H460" s="97">
        <v>966</v>
      </c>
      <c r="I460" s="97">
        <v>1255</v>
      </c>
      <c r="J460" s="97">
        <f t="shared" si="92"/>
        <v>26082</v>
      </c>
      <c r="K460" s="97">
        <f t="shared" si="93"/>
        <v>33885</v>
      </c>
      <c r="L460" s="97">
        <f t="shared" si="94"/>
        <v>7803</v>
      </c>
      <c r="M460" s="97" t="str">
        <f t="shared" si="95"/>
        <v>profit</v>
      </c>
      <c r="N460" s="100" t="b">
        <f t="shared" si="96"/>
        <v>1</v>
      </c>
    </row>
    <row r="461" spans="1:14" x14ac:dyDescent="0.3">
      <c r="A461" s="99">
        <v>45512</v>
      </c>
      <c r="B461" s="97" t="s">
        <v>208</v>
      </c>
      <c r="C461" s="19" t="s">
        <v>109</v>
      </c>
      <c r="D461" s="97" t="s">
        <v>131</v>
      </c>
      <c r="E461" s="97" t="s">
        <v>129</v>
      </c>
      <c r="F461" s="97" t="s">
        <v>112</v>
      </c>
      <c r="G461" s="97">
        <v>20</v>
      </c>
      <c r="H461" s="97">
        <v>525</v>
      </c>
      <c r="I461" s="97">
        <v>1122</v>
      </c>
      <c r="J461" s="97">
        <f t="shared" si="92"/>
        <v>10500</v>
      </c>
      <c r="K461" s="97">
        <f t="shared" si="93"/>
        <v>22440</v>
      </c>
      <c r="L461" s="97">
        <f t="shared" si="94"/>
        <v>11940</v>
      </c>
      <c r="M461" s="97" t="str">
        <f t="shared" si="95"/>
        <v>profit</v>
      </c>
      <c r="N461" s="100" t="b">
        <f t="shared" si="96"/>
        <v>0</v>
      </c>
    </row>
    <row r="462" spans="1:14" x14ac:dyDescent="0.3">
      <c r="A462" s="99">
        <v>45518</v>
      </c>
      <c r="B462" s="97" t="s">
        <v>279</v>
      </c>
      <c r="C462" s="19" t="s">
        <v>139</v>
      </c>
      <c r="D462" s="97" t="s">
        <v>205</v>
      </c>
      <c r="E462" s="97" t="s">
        <v>142</v>
      </c>
      <c r="F462" s="97" t="s">
        <v>123</v>
      </c>
      <c r="G462" s="97">
        <v>23</v>
      </c>
      <c r="H462" s="97">
        <v>694</v>
      </c>
      <c r="I462" s="97">
        <v>1309</v>
      </c>
      <c r="J462" s="97">
        <f t="shared" si="92"/>
        <v>15962</v>
      </c>
      <c r="K462" s="97">
        <f t="shared" si="93"/>
        <v>30107</v>
      </c>
      <c r="L462" s="97">
        <f t="shared" si="94"/>
        <v>14145</v>
      </c>
      <c r="M462" s="97" t="str">
        <f t="shared" si="95"/>
        <v>profit</v>
      </c>
      <c r="N462" s="100" t="b">
        <f t="shared" si="96"/>
        <v>0</v>
      </c>
    </row>
    <row r="463" spans="1:14" x14ac:dyDescent="0.3">
      <c r="A463" s="99">
        <v>45519</v>
      </c>
      <c r="B463" s="97" t="s">
        <v>280</v>
      </c>
      <c r="C463" s="19" t="s">
        <v>139</v>
      </c>
      <c r="D463" s="97" t="s">
        <v>205</v>
      </c>
      <c r="E463" s="97" t="s">
        <v>122</v>
      </c>
      <c r="F463" s="97" t="s">
        <v>112</v>
      </c>
      <c r="G463" s="97">
        <v>22</v>
      </c>
      <c r="H463" s="97">
        <v>749</v>
      </c>
      <c r="I463" s="97">
        <v>850</v>
      </c>
      <c r="J463" s="97">
        <f t="shared" si="92"/>
        <v>16478</v>
      </c>
      <c r="K463" s="97">
        <f t="shared" si="93"/>
        <v>18700</v>
      </c>
      <c r="L463" s="97">
        <f t="shared" si="94"/>
        <v>2222</v>
      </c>
      <c r="M463" s="97" t="str">
        <f t="shared" si="95"/>
        <v>profit</v>
      </c>
      <c r="N463" s="100" t="b">
        <f t="shared" si="96"/>
        <v>0</v>
      </c>
    </row>
    <row r="464" spans="1:14" x14ac:dyDescent="0.3">
      <c r="A464" s="99">
        <v>45521</v>
      </c>
      <c r="B464" s="97" t="s">
        <v>282</v>
      </c>
      <c r="C464" s="19" t="s">
        <v>139</v>
      </c>
      <c r="D464" s="97" t="s">
        <v>205</v>
      </c>
      <c r="E464" s="97" t="s">
        <v>146</v>
      </c>
      <c r="F464" s="97" t="s">
        <v>123</v>
      </c>
      <c r="G464" s="97">
        <v>24</v>
      </c>
      <c r="H464" s="97">
        <v>845</v>
      </c>
      <c r="I464" s="97">
        <v>1429</v>
      </c>
      <c r="J464" s="97">
        <f t="shared" si="92"/>
        <v>20280</v>
      </c>
      <c r="K464" s="97">
        <f t="shared" si="93"/>
        <v>34296</v>
      </c>
      <c r="L464" s="97">
        <f t="shared" si="94"/>
        <v>14016</v>
      </c>
      <c r="M464" s="97" t="str">
        <f t="shared" si="95"/>
        <v>profit</v>
      </c>
      <c r="N464" s="100" t="b">
        <f t="shared" si="96"/>
        <v>1</v>
      </c>
    </row>
    <row r="465" spans="1:14" x14ac:dyDescent="0.3">
      <c r="A465" s="99">
        <v>45522</v>
      </c>
      <c r="B465" s="97" t="s">
        <v>194</v>
      </c>
      <c r="C465" s="19" t="s">
        <v>139</v>
      </c>
      <c r="D465" s="97" t="s">
        <v>205</v>
      </c>
      <c r="E465" s="97" t="s">
        <v>129</v>
      </c>
      <c r="F465" s="97" t="s">
        <v>123</v>
      </c>
      <c r="G465" s="97">
        <v>29</v>
      </c>
      <c r="H465" s="97">
        <v>872</v>
      </c>
      <c r="I465" s="97">
        <v>1351</v>
      </c>
      <c r="J465" s="97">
        <f t="shared" si="92"/>
        <v>25288</v>
      </c>
      <c r="K465" s="97">
        <f t="shared" si="93"/>
        <v>39179</v>
      </c>
      <c r="L465" s="97">
        <f t="shared" si="94"/>
        <v>13891</v>
      </c>
      <c r="M465" s="97" t="str">
        <f t="shared" si="95"/>
        <v>profit</v>
      </c>
      <c r="N465" s="100" t="b">
        <f t="shared" si="96"/>
        <v>1</v>
      </c>
    </row>
    <row r="466" spans="1:14" x14ac:dyDescent="0.3">
      <c r="A466" s="99">
        <v>45523</v>
      </c>
      <c r="B466" s="97" t="s">
        <v>284</v>
      </c>
      <c r="C466" s="19" t="s">
        <v>139</v>
      </c>
      <c r="D466" s="97" t="s">
        <v>205</v>
      </c>
      <c r="E466" s="97" t="s">
        <v>133</v>
      </c>
      <c r="F466" s="97" t="s">
        <v>123</v>
      </c>
      <c r="G466" s="97">
        <v>27</v>
      </c>
      <c r="H466" s="97">
        <v>674</v>
      </c>
      <c r="I466" s="97">
        <v>1119</v>
      </c>
      <c r="J466" s="97">
        <f t="shared" si="92"/>
        <v>18198</v>
      </c>
      <c r="K466" s="97">
        <f t="shared" si="93"/>
        <v>30213</v>
      </c>
      <c r="L466" s="97">
        <f t="shared" si="94"/>
        <v>12015</v>
      </c>
      <c r="M466" s="97" t="str">
        <f t="shared" si="95"/>
        <v>profit</v>
      </c>
      <c r="N466" s="100" t="b">
        <f t="shared" si="96"/>
        <v>0</v>
      </c>
    </row>
    <row r="467" spans="1:14" x14ac:dyDescent="0.3">
      <c r="A467" s="99">
        <v>45524</v>
      </c>
      <c r="B467" s="97" t="s">
        <v>192</v>
      </c>
      <c r="C467" s="19" t="s">
        <v>139</v>
      </c>
      <c r="D467" s="97" t="s">
        <v>205</v>
      </c>
      <c r="E467" s="97" t="s">
        <v>133</v>
      </c>
      <c r="F467" s="97" t="s">
        <v>112</v>
      </c>
      <c r="G467" s="97">
        <v>27</v>
      </c>
      <c r="H467" s="97">
        <v>583</v>
      </c>
      <c r="I467" s="97">
        <v>1379</v>
      </c>
      <c r="J467" s="97">
        <f t="shared" si="92"/>
        <v>15741</v>
      </c>
      <c r="K467" s="97">
        <f t="shared" si="93"/>
        <v>37233</v>
      </c>
      <c r="L467" s="97">
        <f t="shared" si="94"/>
        <v>21492</v>
      </c>
      <c r="M467" s="97" t="str">
        <f t="shared" si="95"/>
        <v>profit</v>
      </c>
      <c r="N467" s="100" t="b">
        <f t="shared" si="96"/>
        <v>0</v>
      </c>
    </row>
    <row r="468" spans="1:14" x14ac:dyDescent="0.3">
      <c r="A468" s="99">
        <v>45525</v>
      </c>
      <c r="B468" s="97" t="s">
        <v>285</v>
      </c>
      <c r="C468" s="19" t="s">
        <v>139</v>
      </c>
      <c r="D468" s="97" t="s">
        <v>205</v>
      </c>
      <c r="E468" s="97" t="s">
        <v>155</v>
      </c>
      <c r="F468" s="97" t="s">
        <v>112</v>
      </c>
      <c r="G468" s="97">
        <v>21</v>
      </c>
      <c r="H468" s="97">
        <v>929</v>
      </c>
      <c r="I468" s="97">
        <v>910</v>
      </c>
      <c r="J468" s="97">
        <f t="shared" si="92"/>
        <v>19509</v>
      </c>
      <c r="K468" s="97">
        <f t="shared" si="93"/>
        <v>19110</v>
      </c>
      <c r="L468" s="97">
        <f t="shared" si="94"/>
        <v>-399</v>
      </c>
      <c r="M468" s="97" t="str">
        <f t="shared" si="95"/>
        <v>loss</v>
      </c>
      <c r="N468" s="100" t="b">
        <f t="shared" si="96"/>
        <v>0</v>
      </c>
    </row>
    <row r="469" spans="1:14" x14ac:dyDescent="0.3">
      <c r="A469" s="99">
        <v>45520</v>
      </c>
      <c r="B469" s="97" t="s">
        <v>209</v>
      </c>
      <c r="C469" s="19" t="s">
        <v>139</v>
      </c>
      <c r="D469" s="97" t="s">
        <v>205</v>
      </c>
      <c r="E469" s="97" t="s">
        <v>145</v>
      </c>
      <c r="F469" s="97" t="s">
        <v>123</v>
      </c>
      <c r="G469" s="97">
        <v>23</v>
      </c>
      <c r="H469" s="97">
        <v>884</v>
      </c>
      <c r="I469" s="97">
        <v>1392</v>
      </c>
      <c r="J469" s="97">
        <f t="shared" si="92"/>
        <v>20332</v>
      </c>
      <c r="K469" s="97">
        <f t="shared" si="93"/>
        <v>32016</v>
      </c>
      <c r="L469" s="97">
        <f t="shared" si="94"/>
        <v>11684</v>
      </c>
      <c r="M469" s="97" t="str">
        <f t="shared" si="95"/>
        <v>profit</v>
      </c>
      <c r="N469" s="100" t="b">
        <f t="shared" si="96"/>
        <v>1</v>
      </c>
    </row>
    <row r="470" spans="1:14" x14ac:dyDescent="0.3">
      <c r="A470" s="99">
        <v>45527</v>
      </c>
      <c r="B470" s="97" t="s">
        <v>286</v>
      </c>
      <c r="C470" s="19" t="s">
        <v>139</v>
      </c>
      <c r="D470" s="97" t="s">
        <v>205</v>
      </c>
      <c r="E470" s="97" t="s">
        <v>151</v>
      </c>
      <c r="F470" s="97" t="s">
        <v>112</v>
      </c>
      <c r="G470" s="97">
        <v>28</v>
      </c>
      <c r="H470" s="97">
        <v>873</v>
      </c>
      <c r="I470" s="97">
        <v>809</v>
      </c>
      <c r="J470" s="97">
        <f t="shared" si="92"/>
        <v>24444</v>
      </c>
      <c r="K470" s="97">
        <f t="shared" si="93"/>
        <v>22652</v>
      </c>
      <c r="L470" s="97">
        <f t="shared" si="94"/>
        <v>-1792</v>
      </c>
      <c r="M470" s="97" t="str">
        <f t="shared" si="95"/>
        <v>loss</v>
      </c>
      <c r="N470" s="100" t="b">
        <f t="shared" si="96"/>
        <v>0</v>
      </c>
    </row>
    <row r="471" spans="1:14" x14ac:dyDescent="0.3">
      <c r="A471" s="99">
        <v>45589</v>
      </c>
      <c r="B471" s="97" t="s">
        <v>288</v>
      </c>
      <c r="C471" s="19" t="s">
        <v>139</v>
      </c>
      <c r="D471" s="97" t="s">
        <v>220</v>
      </c>
      <c r="E471" s="97" t="s">
        <v>151</v>
      </c>
      <c r="F471" s="97" t="s">
        <v>112</v>
      </c>
      <c r="G471" s="97">
        <v>21</v>
      </c>
      <c r="H471" s="97">
        <v>541</v>
      </c>
      <c r="I471" s="97">
        <v>1339</v>
      </c>
      <c r="J471" s="97">
        <f t="shared" si="92"/>
        <v>11361</v>
      </c>
      <c r="K471" s="97">
        <f t="shared" si="93"/>
        <v>28119</v>
      </c>
      <c r="L471" s="97">
        <f t="shared" si="94"/>
        <v>16758</v>
      </c>
      <c r="M471" s="97" t="str">
        <f t="shared" si="95"/>
        <v>profit</v>
      </c>
      <c r="N471" s="100" t="b">
        <f t="shared" si="96"/>
        <v>0</v>
      </c>
    </row>
    <row r="472" spans="1:14" x14ac:dyDescent="0.3">
      <c r="A472" s="99">
        <v>45591</v>
      </c>
      <c r="B472" s="97" t="s">
        <v>289</v>
      </c>
      <c r="C472" s="19" t="s">
        <v>139</v>
      </c>
      <c r="D472" s="97" t="s">
        <v>220</v>
      </c>
      <c r="E472" s="97" t="s">
        <v>125</v>
      </c>
      <c r="F472" s="97" t="s">
        <v>123</v>
      </c>
      <c r="G472" s="97">
        <v>22</v>
      </c>
      <c r="H472" s="97">
        <v>725</v>
      </c>
      <c r="I472" s="97">
        <v>1268</v>
      </c>
      <c r="J472" s="97">
        <f t="shared" si="92"/>
        <v>15950</v>
      </c>
      <c r="K472" s="97">
        <f t="shared" si="93"/>
        <v>27896</v>
      </c>
      <c r="L472" s="97">
        <f t="shared" si="94"/>
        <v>11946</v>
      </c>
      <c r="M472" s="97" t="str">
        <f t="shared" si="95"/>
        <v>profit</v>
      </c>
      <c r="N472" s="100" t="b">
        <f t="shared" si="96"/>
        <v>0</v>
      </c>
    </row>
    <row r="473" spans="1:14" x14ac:dyDescent="0.3">
      <c r="A473" s="99">
        <v>45596</v>
      </c>
      <c r="B473" s="97" t="s">
        <v>290</v>
      </c>
      <c r="C473" s="19" t="s">
        <v>139</v>
      </c>
      <c r="D473" s="97" t="s">
        <v>140</v>
      </c>
      <c r="E473" s="97" t="s">
        <v>111</v>
      </c>
      <c r="F473" s="97" t="s">
        <v>123</v>
      </c>
      <c r="G473" s="97">
        <v>21</v>
      </c>
      <c r="H473" s="97">
        <v>596</v>
      </c>
      <c r="I473" s="97">
        <v>838</v>
      </c>
      <c r="J473" s="97">
        <f t="shared" si="92"/>
        <v>12516</v>
      </c>
      <c r="K473" s="97">
        <f t="shared" si="93"/>
        <v>17598</v>
      </c>
      <c r="L473" s="97">
        <f t="shared" si="94"/>
        <v>5082</v>
      </c>
      <c r="M473" s="97" t="str">
        <f t="shared" si="95"/>
        <v>profit</v>
      </c>
      <c r="N473" s="100" t="b">
        <f t="shared" si="96"/>
        <v>0</v>
      </c>
    </row>
    <row r="474" spans="1:14" x14ac:dyDescent="0.3">
      <c r="A474" s="99">
        <v>45597</v>
      </c>
      <c r="B474" s="97" t="s">
        <v>292</v>
      </c>
      <c r="C474" s="19" t="s">
        <v>139</v>
      </c>
      <c r="D474" s="97" t="s">
        <v>140</v>
      </c>
      <c r="E474" s="97" t="s">
        <v>115</v>
      </c>
      <c r="F474" s="97" t="s">
        <v>123</v>
      </c>
      <c r="G474" s="97">
        <v>30</v>
      </c>
      <c r="H474" s="97">
        <v>910</v>
      </c>
      <c r="I474" s="97">
        <v>1290</v>
      </c>
      <c r="J474" s="97">
        <f t="shared" si="92"/>
        <v>27300</v>
      </c>
      <c r="K474" s="97">
        <f t="shared" si="93"/>
        <v>38700</v>
      </c>
      <c r="L474" s="97">
        <f t="shared" si="94"/>
        <v>11400</v>
      </c>
      <c r="M474" s="97" t="str">
        <f t="shared" si="95"/>
        <v>profit</v>
      </c>
      <c r="N474" s="100" t="b">
        <f t="shared" si="96"/>
        <v>1</v>
      </c>
    </row>
    <row r="475" spans="1:14" x14ac:dyDescent="0.3">
      <c r="A475" s="99">
        <v>45526</v>
      </c>
      <c r="B475" s="97" t="s">
        <v>210</v>
      </c>
      <c r="C475" s="19" t="s">
        <v>139</v>
      </c>
      <c r="D475" s="97" t="s">
        <v>205</v>
      </c>
      <c r="E475" s="97" t="s">
        <v>155</v>
      </c>
      <c r="F475" s="97" t="s">
        <v>112</v>
      </c>
      <c r="G475" s="97">
        <v>20</v>
      </c>
      <c r="H475" s="97">
        <v>997</v>
      </c>
      <c r="I475" s="97">
        <v>784</v>
      </c>
      <c r="J475" s="97">
        <f t="shared" si="92"/>
        <v>19940</v>
      </c>
      <c r="K475" s="97">
        <f t="shared" si="93"/>
        <v>15680</v>
      </c>
      <c r="L475" s="97">
        <f t="shared" si="94"/>
        <v>-4260</v>
      </c>
      <c r="M475" s="97" t="str">
        <f t="shared" si="95"/>
        <v>loss</v>
      </c>
      <c r="N475" s="100" t="b">
        <f t="shared" si="96"/>
        <v>0</v>
      </c>
    </row>
    <row r="476" spans="1:14" x14ac:dyDescent="0.3">
      <c r="A476" s="99">
        <v>45598</v>
      </c>
      <c r="B476" s="97" t="s">
        <v>294</v>
      </c>
      <c r="C476" s="19" t="s">
        <v>139</v>
      </c>
      <c r="D476" s="97" t="s">
        <v>140</v>
      </c>
      <c r="E476" s="97" t="s">
        <v>118</v>
      </c>
      <c r="F476" s="97" t="s">
        <v>123</v>
      </c>
      <c r="G476" s="97">
        <v>25</v>
      </c>
      <c r="H476" s="97">
        <v>532</v>
      </c>
      <c r="I476" s="97">
        <v>1358</v>
      </c>
      <c r="J476" s="97">
        <f t="shared" si="92"/>
        <v>13300</v>
      </c>
      <c r="K476" s="97">
        <f t="shared" si="93"/>
        <v>33950</v>
      </c>
      <c r="L476" s="97">
        <f t="shared" si="94"/>
        <v>20650</v>
      </c>
      <c r="M476" s="97" t="str">
        <f t="shared" si="95"/>
        <v>profit</v>
      </c>
      <c r="N476" s="100" t="b">
        <f t="shared" si="96"/>
        <v>0</v>
      </c>
    </row>
    <row r="477" spans="1:14" x14ac:dyDescent="0.3">
      <c r="A477" s="99">
        <v>45599</v>
      </c>
      <c r="B477" s="97" t="s">
        <v>295</v>
      </c>
      <c r="C477" s="19" t="s">
        <v>139</v>
      </c>
      <c r="D477" s="97" t="s">
        <v>140</v>
      </c>
      <c r="E477" s="97" t="s">
        <v>120</v>
      </c>
      <c r="F477" s="97" t="s">
        <v>112</v>
      </c>
      <c r="G477" s="97">
        <v>29</v>
      </c>
      <c r="H477" s="97">
        <v>813</v>
      </c>
      <c r="I477" s="97">
        <v>1241</v>
      </c>
      <c r="J477" s="97">
        <f t="shared" si="92"/>
        <v>23577</v>
      </c>
      <c r="K477" s="97">
        <f t="shared" si="93"/>
        <v>35989</v>
      </c>
      <c r="L477" s="97">
        <f t="shared" si="94"/>
        <v>12412</v>
      </c>
      <c r="M477" s="97" t="str">
        <f t="shared" si="95"/>
        <v>profit</v>
      </c>
      <c r="N477" s="100" t="b">
        <f t="shared" si="96"/>
        <v>1</v>
      </c>
    </row>
    <row r="478" spans="1:14" x14ac:dyDescent="0.3">
      <c r="A478" s="99">
        <v>45600</v>
      </c>
      <c r="B478" s="97" t="s">
        <v>296</v>
      </c>
      <c r="C478" s="19" t="s">
        <v>139</v>
      </c>
      <c r="D478" s="97" t="s">
        <v>140</v>
      </c>
      <c r="E478" s="97" t="s">
        <v>120</v>
      </c>
      <c r="F478" s="97" t="s">
        <v>112</v>
      </c>
      <c r="G478" s="97">
        <v>28</v>
      </c>
      <c r="H478" s="97">
        <v>858</v>
      </c>
      <c r="I478" s="97">
        <v>1127</v>
      </c>
      <c r="J478" s="97">
        <f t="shared" si="92"/>
        <v>24024</v>
      </c>
      <c r="K478" s="97">
        <f t="shared" si="93"/>
        <v>31556</v>
      </c>
      <c r="L478" s="97">
        <f t="shared" si="94"/>
        <v>7532</v>
      </c>
      <c r="M478" s="97" t="str">
        <f t="shared" si="95"/>
        <v>profit</v>
      </c>
      <c r="N478" s="100" t="b">
        <f t="shared" si="96"/>
        <v>1</v>
      </c>
    </row>
    <row r="479" spans="1:14" x14ac:dyDescent="0.3">
      <c r="A479" s="99">
        <v>45601</v>
      </c>
      <c r="B479" s="97" t="s">
        <v>297</v>
      </c>
      <c r="C479" s="19" t="s">
        <v>139</v>
      </c>
      <c r="D479" s="97" t="s">
        <v>140</v>
      </c>
      <c r="E479" s="97" t="s">
        <v>122</v>
      </c>
      <c r="F479" s="97" t="s">
        <v>112</v>
      </c>
      <c r="G479" s="97">
        <v>24</v>
      </c>
      <c r="H479" s="97">
        <v>641</v>
      </c>
      <c r="I479" s="97">
        <v>1337</v>
      </c>
      <c r="J479" s="97">
        <f t="shared" si="92"/>
        <v>15384</v>
      </c>
      <c r="K479" s="97">
        <f t="shared" si="93"/>
        <v>32088</v>
      </c>
      <c r="L479" s="97">
        <f t="shared" si="94"/>
        <v>16704</v>
      </c>
      <c r="M479" s="97" t="str">
        <f t="shared" si="95"/>
        <v>profit</v>
      </c>
      <c r="N479" s="100" t="b">
        <f t="shared" si="96"/>
        <v>0</v>
      </c>
    </row>
    <row r="480" spans="1:14" x14ac:dyDescent="0.3">
      <c r="A480" s="99">
        <v>45609</v>
      </c>
      <c r="B480" s="97" t="s">
        <v>299</v>
      </c>
      <c r="C480" s="19" t="s">
        <v>139</v>
      </c>
      <c r="D480" s="97" t="s">
        <v>154</v>
      </c>
      <c r="E480" s="97" t="s">
        <v>166</v>
      </c>
      <c r="F480" s="97" t="s">
        <v>123</v>
      </c>
      <c r="G480" s="97">
        <v>25</v>
      </c>
      <c r="H480" s="97">
        <v>709</v>
      </c>
      <c r="I480" s="97">
        <v>1386</v>
      </c>
      <c r="J480" s="97">
        <f t="shared" si="92"/>
        <v>17725</v>
      </c>
      <c r="K480" s="97">
        <f t="shared" si="93"/>
        <v>34650</v>
      </c>
      <c r="L480" s="97">
        <f t="shared" si="94"/>
        <v>16925</v>
      </c>
      <c r="M480" s="97" t="str">
        <f t="shared" si="95"/>
        <v>profit</v>
      </c>
      <c r="N480" s="100" t="b">
        <f t="shared" si="96"/>
        <v>0</v>
      </c>
    </row>
    <row r="481" spans="1:14" x14ac:dyDescent="0.3">
      <c r="A481" s="99">
        <v>45611</v>
      </c>
      <c r="B481" s="97" t="s">
        <v>300</v>
      </c>
      <c r="C481" s="19" t="s">
        <v>139</v>
      </c>
      <c r="D481" s="97" t="s">
        <v>154</v>
      </c>
      <c r="E481" s="97" t="s">
        <v>129</v>
      </c>
      <c r="F481" s="97" t="s">
        <v>123</v>
      </c>
      <c r="G481" s="97">
        <v>25</v>
      </c>
      <c r="H481" s="97">
        <v>802</v>
      </c>
      <c r="I481" s="97">
        <v>1126</v>
      </c>
      <c r="J481" s="97">
        <f t="shared" si="92"/>
        <v>20050</v>
      </c>
      <c r="K481" s="97">
        <f t="shared" si="93"/>
        <v>28150</v>
      </c>
      <c r="L481" s="97">
        <f t="shared" si="94"/>
        <v>8100</v>
      </c>
      <c r="M481" s="97" t="str">
        <f t="shared" si="95"/>
        <v>profit</v>
      </c>
      <c r="N481" s="100" t="b">
        <f t="shared" si="96"/>
        <v>1</v>
      </c>
    </row>
    <row r="482" spans="1:14" x14ac:dyDescent="0.3">
      <c r="A482" s="99">
        <v>45612</v>
      </c>
      <c r="B482" s="97" t="s">
        <v>301</v>
      </c>
      <c r="C482" s="19" t="s">
        <v>139</v>
      </c>
      <c r="D482" s="97" t="s">
        <v>154</v>
      </c>
      <c r="E482" s="97" t="s">
        <v>137</v>
      </c>
      <c r="F482" s="97" t="s">
        <v>123</v>
      </c>
      <c r="G482" s="97">
        <v>23</v>
      </c>
      <c r="H482" s="97">
        <v>893</v>
      </c>
      <c r="I482" s="97">
        <v>761</v>
      </c>
      <c r="J482" s="97">
        <f t="shared" si="92"/>
        <v>20539</v>
      </c>
      <c r="K482" s="97">
        <f t="shared" si="93"/>
        <v>17503</v>
      </c>
      <c r="L482" s="97">
        <f t="shared" si="94"/>
        <v>-3036</v>
      </c>
      <c r="M482" s="97" t="str">
        <f t="shared" si="95"/>
        <v>loss</v>
      </c>
      <c r="N482" s="100" t="b">
        <f t="shared" si="96"/>
        <v>0</v>
      </c>
    </row>
    <row r="483" spans="1:14" x14ac:dyDescent="0.3">
      <c r="A483" s="99">
        <v>45613</v>
      </c>
      <c r="B483" s="97" t="s">
        <v>302</v>
      </c>
      <c r="C483" s="19" t="s">
        <v>139</v>
      </c>
      <c r="D483" s="97" t="s">
        <v>154</v>
      </c>
      <c r="E483" s="97" t="s">
        <v>151</v>
      </c>
      <c r="F483" s="97" t="s">
        <v>123</v>
      </c>
      <c r="G483" s="97">
        <v>29</v>
      </c>
      <c r="H483" s="97">
        <v>852</v>
      </c>
      <c r="I483" s="97">
        <v>1452</v>
      </c>
      <c r="J483" s="97">
        <f t="shared" si="92"/>
        <v>24708</v>
      </c>
      <c r="K483" s="97">
        <f t="shared" si="93"/>
        <v>42108</v>
      </c>
      <c r="L483" s="97">
        <f t="shared" si="94"/>
        <v>17400</v>
      </c>
      <c r="M483" s="97" t="str">
        <f t="shared" si="95"/>
        <v>profit</v>
      </c>
      <c r="N483" s="100" t="b">
        <f t="shared" si="96"/>
        <v>1</v>
      </c>
    </row>
    <row r="484" spans="1:14" x14ac:dyDescent="0.3">
      <c r="A484" s="99">
        <v>45535</v>
      </c>
      <c r="B484" s="97" t="s">
        <v>211</v>
      </c>
      <c r="C484" s="19" t="s">
        <v>127</v>
      </c>
      <c r="D484" s="97" t="s">
        <v>186</v>
      </c>
      <c r="E484" s="97" t="s">
        <v>115</v>
      </c>
      <c r="F484" s="97" t="s">
        <v>123</v>
      </c>
      <c r="G484" s="97">
        <v>64</v>
      </c>
      <c r="H484" s="97">
        <v>580</v>
      </c>
      <c r="I484" s="97">
        <v>1164</v>
      </c>
      <c r="J484" s="97">
        <f t="shared" si="92"/>
        <v>37120</v>
      </c>
      <c r="K484" s="97">
        <f t="shared" si="93"/>
        <v>74496</v>
      </c>
      <c r="L484" s="97">
        <f t="shared" si="94"/>
        <v>37376</v>
      </c>
      <c r="M484" s="97" t="str">
        <f t="shared" si="95"/>
        <v>profit</v>
      </c>
      <c r="N484" s="100" t="b">
        <f t="shared" si="96"/>
        <v>1</v>
      </c>
    </row>
    <row r="485" spans="1:14" x14ac:dyDescent="0.3">
      <c r="A485" s="99">
        <v>45615</v>
      </c>
      <c r="B485" s="97" t="s">
        <v>303</v>
      </c>
      <c r="C485" s="19" t="s">
        <v>139</v>
      </c>
      <c r="D485" s="97" t="s">
        <v>154</v>
      </c>
      <c r="E485" s="97" t="s">
        <v>133</v>
      </c>
      <c r="F485" s="97" t="s">
        <v>112</v>
      </c>
      <c r="G485" s="97">
        <v>23</v>
      </c>
      <c r="H485" s="97">
        <v>747</v>
      </c>
      <c r="I485" s="97">
        <v>1340</v>
      </c>
      <c r="J485" s="97">
        <f t="shared" si="92"/>
        <v>17181</v>
      </c>
      <c r="K485" s="97">
        <f t="shared" si="93"/>
        <v>30820</v>
      </c>
      <c r="L485" s="97">
        <f t="shared" si="94"/>
        <v>13639</v>
      </c>
      <c r="M485" s="97" t="str">
        <f t="shared" si="95"/>
        <v>profit</v>
      </c>
      <c r="N485" s="100" t="b">
        <f t="shared" si="96"/>
        <v>0</v>
      </c>
    </row>
    <row r="486" spans="1:14" x14ac:dyDescent="0.3">
      <c r="A486" s="99">
        <v>45617</v>
      </c>
      <c r="B486" s="97" t="s">
        <v>304</v>
      </c>
      <c r="C486" s="19" t="s">
        <v>139</v>
      </c>
      <c r="D486" s="97" t="s">
        <v>154</v>
      </c>
      <c r="E486" s="97" t="s">
        <v>137</v>
      </c>
      <c r="F486" s="97" t="s">
        <v>123</v>
      </c>
      <c r="G486" s="97">
        <v>26</v>
      </c>
      <c r="H486" s="97">
        <v>625</v>
      </c>
      <c r="I486" s="97">
        <v>1298</v>
      </c>
      <c r="J486" s="97">
        <f t="shared" si="92"/>
        <v>16250</v>
      </c>
      <c r="K486" s="97">
        <f t="shared" si="93"/>
        <v>33748</v>
      </c>
      <c r="L486" s="97">
        <f t="shared" si="94"/>
        <v>17498</v>
      </c>
      <c r="M486" s="97" t="str">
        <f t="shared" si="95"/>
        <v>profit</v>
      </c>
      <c r="N486" s="100" t="b">
        <f t="shared" si="96"/>
        <v>0</v>
      </c>
    </row>
    <row r="487" spans="1:14" x14ac:dyDescent="0.3">
      <c r="A487" s="99">
        <v>45618</v>
      </c>
      <c r="B487" s="97" t="s">
        <v>306</v>
      </c>
      <c r="C487" s="19" t="s">
        <v>139</v>
      </c>
      <c r="D487" s="97" t="s">
        <v>154</v>
      </c>
      <c r="E487" s="97" t="s">
        <v>122</v>
      </c>
      <c r="F487" s="97" t="s">
        <v>123</v>
      </c>
      <c r="G487" s="97">
        <v>23</v>
      </c>
      <c r="H487" s="97">
        <v>706</v>
      </c>
      <c r="I487" s="97">
        <v>988</v>
      </c>
      <c r="J487" s="97">
        <f t="shared" si="92"/>
        <v>16238</v>
      </c>
      <c r="K487" s="97">
        <f t="shared" si="93"/>
        <v>22724</v>
      </c>
      <c r="L487" s="97">
        <f t="shared" si="94"/>
        <v>6486</v>
      </c>
      <c r="M487" s="97" t="str">
        <f t="shared" si="95"/>
        <v>profit</v>
      </c>
      <c r="N487" s="100" t="b">
        <f t="shared" si="96"/>
        <v>0</v>
      </c>
    </row>
    <row r="488" spans="1:14" x14ac:dyDescent="0.3">
      <c r="A488" s="99">
        <v>45619</v>
      </c>
      <c r="B488" s="97" t="s">
        <v>308</v>
      </c>
      <c r="C488" s="19" t="s">
        <v>139</v>
      </c>
      <c r="D488" s="97" t="s">
        <v>154</v>
      </c>
      <c r="E488" s="97" t="s">
        <v>137</v>
      </c>
      <c r="F488" s="97" t="s">
        <v>123</v>
      </c>
      <c r="G488" s="97">
        <v>28</v>
      </c>
      <c r="H488" s="97">
        <v>858</v>
      </c>
      <c r="I488" s="97">
        <v>1113</v>
      </c>
      <c r="J488" s="97">
        <f t="shared" si="92"/>
        <v>24024</v>
      </c>
      <c r="K488" s="97">
        <f t="shared" si="93"/>
        <v>31164</v>
      </c>
      <c r="L488" s="97">
        <f t="shared" si="94"/>
        <v>7140</v>
      </c>
      <c r="M488" s="97" t="str">
        <f t="shared" si="95"/>
        <v>profit</v>
      </c>
      <c r="N488" s="100" t="b">
        <f t="shared" si="96"/>
        <v>1</v>
      </c>
    </row>
    <row r="489" spans="1:14" x14ac:dyDescent="0.3">
      <c r="A489" s="99">
        <v>45540</v>
      </c>
      <c r="B489" s="97" t="s">
        <v>212</v>
      </c>
      <c r="C489" s="19" t="s">
        <v>127</v>
      </c>
      <c r="D489" s="97" t="s">
        <v>207</v>
      </c>
      <c r="E489" s="97" t="s">
        <v>125</v>
      </c>
      <c r="F489" s="97" t="s">
        <v>112</v>
      </c>
      <c r="G489" s="97">
        <v>52</v>
      </c>
      <c r="H489" s="97">
        <v>893</v>
      </c>
      <c r="I489" s="97">
        <v>1055</v>
      </c>
      <c r="J489" s="97">
        <f t="shared" si="92"/>
        <v>46436</v>
      </c>
      <c r="K489" s="97">
        <f t="shared" si="93"/>
        <v>54860</v>
      </c>
      <c r="L489" s="97">
        <f t="shared" si="94"/>
        <v>8424</v>
      </c>
      <c r="M489" s="97" t="str">
        <f t="shared" si="95"/>
        <v>profit</v>
      </c>
      <c r="N489" s="100" t="b">
        <f t="shared" si="96"/>
        <v>1</v>
      </c>
    </row>
    <row r="490" spans="1:14" x14ac:dyDescent="0.3">
      <c r="A490" s="99">
        <v>45620</v>
      </c>
      <c r="B490" s="97" t="s">
        <v>310</v>
      </c>
      <c r="C490" s="19" t="s">
        <v>139</v>
      </c>
      <c r="D490" s="97" t="s">
        <v>154</v>
      </c>
      <c r="E490" s="97" t="s">
        <v>142</v>
      </c>
      <c r="F490" s="97" t="s">
        <v>123</v>
      </c>
      <c r="G490" s="97">
        <v>24</v>
      </c>
      <c r="H490" s="97">
        <v>736</v>
      </c>
      <c r="I490" s="97">
        <v>1406</v>
      </c>
      <c r="J490" s="97">
        <f t="shared" si="92"/>
        <v>17664</v>
      </c>
      <c r="K490" s="97">
        <f t="shared" si="93"/>
        <v>33744</v>
      </c>
      <c r="L490" s="97">
        <f t="shared" si="94"/>
        <v>16080</v>
      </c>
      <c r="M490" s="97" t="str">
        <f t="shared" si="95"/>
        <v>profit</v>
      </c>
      <c r="N490" s="100" t="b">
        <f t="shared" si="96"/>
        <v>0</v>
      </c>
    </row>
    <row r="491" spans="1:14" x14ac:dyDescent="0.3">
      <c r="A491" s="99">
        <v>45621</v>
      </c>
      <c r="B491" s="97" t="s">
        <v>311</v>
      </c>
      <c r="C491" s="19" t="s">
        <v>139</v>
      </c>
      <c r="D491" s="97" t="s">
        <v>154</v>
      </c>
      <c r="E491" s="97" t="s">
        <v>122</v>
      </c>
      <c r="F491" s="97" t="s">
        <v>123</v>
      </c>
      <c r="G491" s="97">
        <v>20</v>
      </c>
      <c r="H491" s="97">
        <v>599</v>
      </c>
      <c r="I491" s="97">
        <v>1023</v>
      </c>
      <c r="J491" s="97">
        <f t="shared" si="92"/>
        <v>11980</v>
      </c>
      <c r="K491" s="97">
        <f t="shared" si="93"/>
        <v>20460</v>
      </c>
      <c r="L491" s="97">
        <f t="shared" si="94"/>
        <v>8480</v>
      </c>
      <c r="M491" s="97" t="str">
        <f t="shared" si="95"/>
        <v>profit</v>
      </c>
      <c r="N491" s="100" t="b">
        <f t="shared" si="96"/>
        <v>0</v>
      </c>
    </row>
    <row r="492" spans="1:14" x14ac:dyDescent="0.3">
      <c r="A492" s="99">
        <v>45622</v>
      </c>
      <c r="B492" s="97" t="s">
        <v>312</v>
      </c>
      <c r="C492" s="19" t="s">
        <v>139</v>
      </c>
      <c r="D492" s="97" t="s">
        <v>154</v>
      </c>
      <c r="E492" s="97" t="s">
        <v>145</v>
      </c>
      <c r="F492" s="97" t="s">
        <v>112</v>
      </c>
      <c r="G492" s="97">
        <v>22</v>
      </c>
      <c r="H492" s="97">
        <v>524</v>
      </c>
      <c r="I492" s="97">
        <v>1147</v>
      </c>
      <c r="J492" s="97">
        <f t="shared" si="92"/>
        <v>11528</v>
      </c>
      <c r="K492" s="97">
        <f t="shared" si="93"/>
        <v>25234</v>
      </c>
      <c r="L492" s="97">
        <f t="shared" si="94"/>
        <v>13706</v>
      </c>
      <c r="M492" s="97" t="str">
        <f t="shared" si="95"/>
        <v>profit</v>
      </c>
      <c r="N492" s="100" t="b">
        <f t="shared" si="96"/>
        <v>0</v>
      </c>
    </row>
    <row r="493" spans="1:14" x14ac:dyDescent="0.3">
      <c r="A493" s="99">
        <v>45623</v>
      </c>
      <c r="B493" s="97" t="s">
        <v>313</v>
      </c>
      <c r="C493" s="19" t="s">
        <v>139</v>
      </c>
      <c r="D493" s="97" t="s">
        <v>154</v>
      </c>
      <c r="E493" s="97" t="s">
        <v>146</v>
      </c>
      <c r="F493" s="97" t="s">
        <v>112</v>
      </c>
      <c r="G493" s="97">
        <v>27</v>
      </c>
      <c r="H493" s="97">
        <v>744</v>
      </c>
      <c r="I493" s="97">
        <v>1253</v>
      </c>
      <c r="J493" s="97">
        <f t="shared" si="92"/>
        <v>20088</v>
      </c>
      <c r="K493" s="97">
        <f t="shared" si="93"/>
        <v>33831</v>
      </c>
      <c r="L493" s="97">
        <f t="shared" si="94"/>
        <v>13743</v>
      </c>
      <c r="M493" s="97" t="str">
        <f t="shared" si="95"/>
        <v>profit</v>
      </c>
      <c r="N493" s="100" t="b">
        <f t="shared" si="96"/>
        <v>1</v>
      </c>
    </row>
    <row r="494" spans="1:14" x14ac:dyDescent="0.3">
      <c r="A494" s="99">
        <v>45624</v>
      </c>
      <c r="B494" s="97" t="s">
        <v>314</v>
      </c>
      <c r="C494" s="19" t="s">
        <v>139</v>
      </c>
      <c r="D494" s="97" t="s">
        <v>205</v>
      </c>
      <c r="E494" s="97" t="s">
        <v>129</v>
      </c>
      <c r="F494" s="97" t="s">
        <v>112</v>
      </c>
      <c r="G494" s="97">
        <v>27</v>
      </c>
      <c r="H494" s="97">
        <v>826</v>
      </c>
      <c r="I494" s="97">
        <v>917</v>
      </c>
      <c r="J494" s="97">
        <f t="shared" si="92"/>
        <v>22302</v>
      </c>
      <c r="K494" s="97">
        <f t="shared" si="93"/>
        <v>24759</v>
      </c>
      <c r="L494" s="97">
        <f t="shared" si="94"/>
        <v>2457</v>
      </c>
      <c r="M494" s="97" t="str">
        <f t="shared" si="95"/>
        <v>profit</v>
      </c>
      <c r="N494" s="100" t="b">
        <f t="shared" si="96"/>
        <v>1</v>
      </c>
    </row>
    <row r="495" spans="1:14" x14ac:dyDescent="0.3">
      <c r="A495" s="99">
        <v>45625</v>
      </c>
      <c r="B495" s="97" t="s">
        <v>315</v>
      </c>
      <c r="C495" s="19" t="s">
        <v>139</v>
      </c>
      <c r="D495" s="97" t="s">
        <v>205</v>
      </c>
      <c r="E495" s="97" t="s">
        <v>133</v>
      </c>
      <c r="F495" s="97" t="s">
        <v>112</v>
      </c>
      <c r="G495" s="97">
        <v>27</v>
      </c>
      <c r="H495" s="97">
        <v>573</v>
      </c>
      <c r="I495" s="97">
        <v>1266</v>
      </c>
      <c r="J495" s="97">
        <f t="shared" si="92"/>
        <v>15471</v>
      </c>
      <c r="K495" s="97">
        <f t="shared" si="93"/>
        <v>34182</v>
      </c>
      <c r="L495" s="97">
        <f t="shared" si="94"/>
        <v>18711</v>
      </c>
      <c r="M495" s="97" t="str">
        <f t="shared" si="95"/>
        <v>profit</v>
      </c>
      <c r="N495" s="100" t="b">
        <f t="shared" si="96"/>
        <v>0</v>
      </c>
    </row>
    <row r="496" spans="1:14" x14ac:dyDescent="0.3">
      <c r="A496" s="99">
        <v>45627</v>
      </c>
      <c r="B496" s="97" t="s">
        <v>317</v>
      </c>
      <c r="C496" s="19" t="s">
        <v>139</v>
      </c>
      <c r="D496" s="97" t="s">
        <v>205</v>
      </c>
      <c r="E496" s="97" t="s">
        <v>155</v>
      </c>
      <c r="F496" s="97" t="s">
        <v>112</v>
      </c>
      <c r="G496" s="97">
        <v>28</v>
      </c>
      <c r="H496" s="97">
        <v>798</v>
      </c>
      <c r="I496" s="97">
        <v>1131</v>
      </c>
      <c r="J496" s="97">
        <f t="shared" si="92"/>
        <v>22344</v>
      </c>
      <c r="K496" s="97">
        <f t="shared" si="93"/>
        <v>31668</v>
      </c>
      <c r="L496" s="97">
        <f t="shared" si="94"/>
        <v>9324</v>
      </c>
      <c r="M496" s="97" t="str">
        <f t="shared" si="95"/>
        <v>profit</v>
      </c>
      <c r="N496" s="100" t="b">
        <f t="shared" si="96"/>
        <v>1</v>
      </c>
    </row>
    <row r="497" spans="1:14" x14ac:dyDescent="0.3">
      <c r="A497" s="99">
        <v>45628</v>
      </c>
      <c r="B497" s="97" t="s">
        <v>318</v>
      </c>
      <c r="C497" s="19" t="s">
        <v>139</v>
      </c>
      <c r="D497" s="97" t="s">
        <v>205</v>
      </c>
      <c r="E497" s="97" t="s">
        <v>155</v>
      </c>
      <c r="F497" s="97" t="s">
        <v>112</v>
      </c>
      <c r="G497" s="97">
        <v>25</v>
      </c>
      <c r="H497" s="97">
        <v>982</v>
      </c>
      <c r="I497" s="97">
        <v>1479</v>
      </c>
      <c r="J497" s="97">
        <f t="shared" si="92"/>
        <v>24550</v>
      </c>
      <c r="K497" s="97">
        <f t="shared" si="93"/>
        <v>36975</v>
      </c>
      <c r="L497" s="97">
        <f t="shared" si="94"/>
        <v>12425</v>
      </c>
      <c r="M497" s="97" t="str">
        <f t="shared" si="95"/>
        <v>profit</v>
      </c>
      <c r="N497" s="100" t="b">
        <f t="shared" si="96"/>
        <v>1</v>
      </c>
    </row>
    <row r="498" spans="1:14" x14ac:dyDescent="0.3">
      <c r="A498" s="99">
        <v>45549</v>
      </c>
      <c r="B498" s="97" t="s">
        <v>213</v>
      </c>
      <c r="C498" s="19" t="s">
        <v>109</v>
      </c>
      <c r="D498" s="97" t="s">
        <v>131</v>
      </c>
      <c r="E498" s="97" t="s">
        <v>129</v>
      </c>
      <c r="F498" s="97" t="s">
        <v>112</v>
      </c>
      <c r="G498" s="97">
        <v>19</v>
      </c>
      <c r="H498" s="97">
        <v>938</v>
      </c>
      <c r="I498" s="97">
        <v>1348</v>
      </c>
      <c r="J498" s="97">
        <f t="shared" si="92"/>
        <v>17822</v>
      </c>
      <c r="K498" s="97">
        <f t="shared" si="93"/>
        <v>25612</v>
      </c>
      <c r="L498" s="97">
        <f t="shared" si="94"/>
        <v>7790</v>
      </c>
      <c r="M498" s="97" t="str">
        <f t="shared" si="95"/>
        <v>profit</v>
      </c>
      <c r="N498" s="100" t="b">
        <f t="shared" si="96"/>
        <v>0</v>
      </c>
    </row>
    <row r="499" spans="1:14" ht="15" thickBot="1" x14ac:dyDescent="0.35">
      <c r="A499" s="102">
        <v>45630</v>
      </c>
      <c r="B499" s="98" t="s">
        <v>319</v>
      </c>
      <c r="C499" s="23" t="s">
        <v>139</v>
      </c>
      <c r="D499" s="98" t="s">
        <v>205</v>
      </c>
      <c r="E499" s="98" t="s">
        <v>133</v>
      </c>
      <c r="F499" s="98" t="s">
        <v>123</v>
      </c>
      <c r="G499" s="98">
        <v>29</v>
      </c>
      <c r="H499" s="98">
        <v>841</v>
      </c>
      <c r="I499" s="98">
        <v>854</v>
      </c>
      <c r="J499" s="98">
        <f t="shared" si="92"/>
        <v>24389</v>
      </c>
      <c r="K499" s="98">
        <f t="shared" si="93"/>
        <v>24766</v>
      </c>
      <c r="L499" s="98">
        <f t="shared" si="94"/>
        <v>377</v>
      </c>
      <c r="M499" s="98" t="str">
        <f t="shared" si="95"/>
        <v>profit</v>
      </c>
      <c r="N499" s="103" t="b">
        <f t="shared" si="96"/>
        <v>1</v>
      </c>
    </row>
  </sheetData>
  <conditionalFormatting sqref="V1:AI314 A1:N499">
    <cfRule type="containsText" dxfId="0" priority="2" operator="containsText" text="Decor">
      <formula>NOT(ISERROR(SEARCH("Decor",A1)))</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5C04-073D-455C-88BB-74B1D5B3A356}">
  <dimension ref="B1:U55"/>
  <sheetViews>
    <sheetView topLeftCell="A40" workbookViewId="0">
      <selection activeCell="H47" sqref="H47"/>
    </sheetView>
  </sheetViews>
  <sheetFormatPr defaultRowHeight="14.4" x14ac:dyDescent="0.3"/>
  <cols>
    <col min="10" max="10" width="10.33203125" bestFit="1" customWidth="1"/>
    <col min="11" max="11" width="18.21875" bestFit="1" customWidth="1"/>
    <col min="12" max="12" width="8.33203125" bestFit="1" customWidth="1"/>
    <col min="13" max="13" width="4.77734375" bestFit="1" customWidth="1"/>
  </cols>
  <sheetData>
    <row r="1" spans="2:21" x14ac:dyDescent="0.3">
      <c r="B1" s="126" t="s">
        <v>343</v>
      </c>
      <c r="C1" s="127" t="s">
        <v>344</v>
      </c>
      <c r="D1" s="31" t="s">
        <v>345</v>
      </c>
      <c r="E1" s="128" t="s">
        <v>60</v>
      </c>
      <c r="J1" s="31" t="s">
        <v>69</v>
      </c>
      <c r="K1" s="31" t="s">
        <v>70</v>
      </c>
      <c r="L1" s="31" t="s">
        <v>57</v>
      </c>
      <c r="M1" s="31" t="s">
        <v>58</v>
      </c>
      <c r="N1" s="31" t="s">
        <v>59</v>
      </c>
      <c r="P1" s="123" t="s">
        <v>59</v>
      </c>
      <c r="Q1" t="s">
        <v>59</v>
      </c>
    </row>
    <row r="2" spans="2:21" x14ac:dyDescent="0.3">
      <c r="B2" s="19">
        <v>3679</v>
      </c>
      <c r="C2" s="19">
        <v>591</v>
      </c>
      <c r="D2" s="19">
        <v>323</v>
      </c>
      <c r="E2" s="129">
        <v>147.89999999999998</v>
      </c>
      <c r="J2" s="124">
        <v>45711</v>
      </c>
      <c r="K2" s="19" t="s">
        <v>71</v>
      </c>
      <c r="L2" s="19">
        <v>314</v>
      </c>
      <c r="M2" s="19">
        <v>582</v>
      </c>
      <c r="N2" s="19">
        <f>L2*M2</f>
        <v>182748</v>
      </c>
      <c r="P2" s="20">
        <f>N2*O2</f>
        <v>0</v>
      </c>
      <c r="Q2">
        <v>182748</v>
      </c>
    </row>
    <row r="3" spans="2:21" x14ac:dyDescent="0.3">
      <c r="B3" s="19">
        <v>2755</v>
      </c>
      <c r="C3" s="19">
        <v>185</v>
      </c>
      <c r="D3" s="19">
        <v>-1300</v>
      </c>
      <c r="E3" s="129">
        <v>171.20000000000002</v>
      </c>
      <c r="J3" s="124">
        <v>45712</v>
      </c>
      <c r="K3" s="19" t="s">
        <v>72</v>
      </c>
      <c r="L3" s="19">
        <v>405</v>
      </c>
      <c r="M3" s="19">
        <v>855</v>
      </c>
      <c r="N3" s="19">
        <f>L3*M3</f>
        <v>346275</v>
      </c>
      <c r="P3" s="20">
        <f t="shared" ref="P3:P14" si="0">N3*O3</f>
        <v>0</v>
      </c>
      <c r="Q3">
        <v>346275</v>
      </c>
    </row>
    <row r="4" spans="2:21" x14ac:dyDescent="0.3">
      <c r="B4" s="19">
        <v>2178</v>
      </c>
      <c r="C4" s="19">
        <v>802</v>
      </c>
      <c r="D4" s="19">
        <v>-1199</v>
      </c>
      <c r="E4" s="129">
        <v>116.89999999999999</v>
      </c>
      <c r="J4" s="124">
        <v>45713</v>
      </c>
      <c r="K4" s="19" t="s">
        <v>73</v>
      </c>
      <c r="L4" s="19">
        <v>249</v>
      </c>
      <c r="M4" s="19">
        <v>665</v>
      </c>
      <c r="N4" s="19">
        <f>L4*M4</f>
        <v>165585</v>
      </c>
      <c r="P4" s="20">
        <f t="shared" si="0"/>
        <v>0</v>
      </c>
      <c r="Q4">
        <v>165585</v>
      </c>
    </row>
    <row r="5" spans="2:21" x14ac:dyDescent="0.3">
      <c r="B5" s="19">
        <v>2689</v>
      </c>
      <c r="C5" s="19">
        <v>533</v>
      </c>
      <c r="D5" s="19">
        <v>-1676</v>
      </c>
      <c r="E5" s="129">
        <v>119.7</v>
      </c>
      <c r="J5" s="124">
        <v>45712</v>
      </c>
      <c r="K5" s="19" t="s">
        <v>75</v>
      </c>
      <c r="L5" s="19">
        <v>300</v>
      </c>
      <c r="M5" s="19">
        <v>907</v>
      </c>
      <c r="N5" s="19">
        <f>L5*M5</f>
        <v>272100</v>
      </c>
      <c r="P5" s="20">
        <f t="shared" si="0"/>
        <v>0</v>
      </c>
      <c r="Q5">
        <v>272100</v>
      </c>
    </row>
    <row r="6" spans="2:21" x14ac:dyDescent="0.3">
      <c r="B6" s="19">
        <v>2382</v>
      </c>
      <c r="C6" s="19">
        <v>381</v>
      </c>
      <c r="D6" s="19">
        <v>-1921</v>
      </c>
      <c r="E6" s="129">
        <v>187.60000000000002</v>
      </c>
      <c r="J6" s="124">
        <v>45711</v>
      </c>
      <c r="K6" s="19" t="s">
        <v>76</v>
      </c>
      <c r="L6" s="19">
        <v>463</v>
      </c>
      <c r="M6" s="19">
        <v>521</v>
      </c>
      <c r="N6" s="19">
        <f>L6*M6</f>
        <v>241223</v>
      </c>
      <c r="P6" s="20">
        <f t="shared" si="0"/>
        <v>0</v>
      </c>
      <c r="Q6">
        <v>241223</v>
      </c>
    </row>
    <row r="7" spans="2:21" x14ac:dyDescent="0.3">
      <c r="B7" s="19">
        <v>1095</v>
      </c>
      <c r="C7" s="19">
        <v>665</v>
      </c>
      <c r="D7" s="19">
        <v>-1064</v>
      </c>
      <c r="E7" s="129">
        <v>102.10000000000001</v>
      </c>
      <c r="J7" s="124">
        <v>45713</v>
      </c>
      <c r="K7" s="19" t="s">
        <v>77</v>
      </c>
      <c r="L7" s="19">
        <v>433</v>
      </c>
      <c r="M7" s="19">
        <v>500</v>
      </c>
      <c r="N7" s="19">
        <f>L7*M7</f>
        <v>216500</v>
      </c>
      <c r="P7" s="20">
        <f t="shared" si="0"/>
        <v>0</v>
      </c>
      <c r="Q7">
        <v>216500</v>
      </c>
    </row>
    <row r="8" spans="2:21" x14ac:dyDescent="0.3">
      <c r="B8" s="19">
        <v>3060</v>
      </c>
      <c r="C8" s="19">
        <v>723</v>
      </c>
      <c r="D8" s="19">
        <v>-1732</v>
      </c>
      <c r="E8" s="129">
        <v>123.5</v>
      </c>
      <c r="J8" s="124">
        <v>45709</v>
      </c>
      <c r="K8" s="19" t="s">
        <v>78</v>
      </c>
      <c r="L8" s="19">
        <v>281</v>
      </c>
      <c r="M8" s="19">
        <v>876</v>
      </c>
      <c r="N8" s="19">
        <f>L8*M8</f>
        <v>246156</v>
      </c>
      <c r="P8" s="20">
        <f t="shared" si="0"/>
        <v>0</v>
      </c>
      <c r="Q8">
        <v>246156</v>
      </c>
    </row>
    <row r="9" spans="2:21" x14ac:dyDescent="0.3">
      <c r="B9" s="19">
        <v>1027</v>
      </c>
      <c r="C9" s="19">
        <v>248</v>
      </c>
      <c r="D9" s="19">
        <v>-1825</v>
      </c>
      <c r="E9" s="129">
        <v>188.5</v>
      </c>
      <c r="J9" s="124">
        <v>45710</v>
      </c>
      <c r="K9" s="19" t="s">
        <v>79</v>
      </c>
      <c r="L9" s="19">
        <v>376</v>
      </c>
      <c r="M9" s="19">
        <v>856</v>
      </c>
      <c r="N9" s="19">
        <f>L9*M9</f>
        <v>321856</v>
      </c>
      <c r="P9" s="20">
        <f t="shared" si="0"/>
        <v>0</v>
      </c>
      <c r="Q9">
        <v>321856</v>
      </c>
    </row>
    <row r="10" spans="2:21" x14ac:dyDescent="0.3">
      <c r="B10" s="19">
        <v>2299</v>
      </c>
      <c r="C10" s="19">
        <v>549</v>
      </c>
      <c r="D10" s="19">
        <v>-1954</v>
      </c>
      <c r="E10" s="129">
        <v>196.70000000000002</v>
      </c>
      <c r="J10" s="124">
        <v>45711</v>
      </c>
      <c r="K10" s="19" t="s">
        <v>80</v>
      </c>
      <c r="L10" s="19">
        <v>376</v>
      </c>
      <c r="M10" s="19">
        <v>588</v>
      </c>
      <c r="N10" s="19">
        <f>L10*M10</f>
        <v>221088</v>
      </c>
      <c r="P10" s="20">
        <f t="shared" si="0"/>
        <v>0</v>
      </c>
      <c r="Q10">
        <v>221088</v>
      </c>
    </row>
    <row r="11" spans="2:21" x14ac:dyDescent="0.3">
      <c r="B11" s="19">
        <v>3102</v>
      </c>
      <c r="C11" s="19">
        <v>436</v>
      </c>
      <c r="D11" s="19">
        <v>-1705</v>
      </c>
      <c r="E11" s="129">
        <v>1645</v>
      </c>
      <c r="J11" s="124">
        <v>45712</v>
      </c>
      <c r="K11" s="19" t="s">
        <v>81</v>
      </c>
      <c r="L11" s="19">
        <v>292</v>
      </c>
      <c r="M11" s="19">
        <v>816</v>
      </c>
      <c r="N11" s="19">
        <f>L11*M11</f>
        <v>238272</v>
      </c>
      <c r="P11" s="20">
        <f t="shared" si="0"/>
        <v>0</v>
      </c>
      <c r="Q11">
        <v>238272</v>
      </c>
    </row>
    <row r="12" spans="2:21" x14ac:dyDescent="0.3">
      <c r="J12" s="124">
        <v>45713</v>
      </c>
      <c r="K12" s="19" t="s">
        <v>82</v>
      </c>
      <c r="L12" s="19">
        <v>400</v>
      </c>
      <c r="M12" s="19">
        <v>932</v>
      </c>
      <c r="N12" s="19">
        <f>L12*M12</f>
        <v>372800</v>
      </c>
      <c r="P12" s="20">
        <f t="shared" si="0"/>
        <v>0</v>
      </c>
      <c r="Q12">
        <v>372800</v>
      </c>
    </row>
    <row r="13" spans="2:21" x14ac:dyDescent="0.3">
      <c r="J13" s="124">
        <v>45711</v>
      </c>
      <c r="K13" s="19" t="s">
        <v>83</v>
      </c>
      <c r="L13" s="19">
        <v>356</v>
      </c>
      <c r="M13" s="19">
        <v>814</v>
      </c>
      <c r="N13" s="19">
        <f>L13*M13</f>
        <v>289784</v>
      </c>
      <c r="P13" s="20">
        <f t="shared" si="0"/>
        <v>0</v>
      </c>
      <c r="Q13">
        <v>289784</v>
      </c>
    </row>
    <row r="14" spans="2:21" x14ac:dyDescent="0.3">
      <c r="J14" s="124">
        <v>45712</v>
      </c>
      <c r="K14" s="125" t="s">
        <v>346</v>
      </c>
      <c r="L14" s="19">
        <v>205</v>
      </c>
      <c r="M14" s="19">
        <v>657</v>
      </c>
      <c r="N14" s="19">
        <f>L14*M14</f>
        <v>134685</v>
      </c>
      <c r="P14" s="20">
        <f t="shared" si="0"/>
        <v>0</v>
      </c>
      <c r="Q14">
        <v>134685</v>
      </c>
    </row>
    <row r="18" spans="2:17" ht="15" thickBot="1" x14ac:dyDescent="0.35"/>
    <row r="19" spans="2:17" x14ac:dyDescent="0.3">
      <c r="M19" s="121"/>
      <c r="N19" s="122"/>
      <c r="O19" s="122"/>
      <c r="P19" s="122"/>
      <c r="Q19" s="123"/>
    </row>
    <row r="20" spans="2:17" x14ac:dyDescent="0.3">
      <c r="M20" s="51"/>
      <c r="N20" s="19"/>
      <c r="O20" s="19"/>
      <c r="P20" s="19"/>
      <c r="Q20" s="20"/>
    </row>
    <row r="21" spans="2:17" x14ac:dyDescent="0.3">
      <c r="B21" s="126" t="s">
        <v>343</v>
      </c>
      <c r="C21" s="19">
        <v>3679</v>
      </c>
      <c r="D21" s="19">
        <v>2755</v>
      </c>
      <c r="E21" s="19">
        <v>2178</v>
      </c>
      <c r="F21" s="19">
        <v>2689</v>
      </c>
      <c r="G21" s="19">
        <v>2382</v>
      </c>
      <c r="H21" s="19">
        <v>1095</v>
      </c>
      <c r="I21" s="19">
        <v>3060</v>
      </c>
      <c r="J21" s="19">
        <v>1027</v>
      </c>
      <c r="K21" s="19">
        <v>2299</v>
      </c>
      <c r="L21" s="19">
        <v>3102</v>
      </c>
      <c r="M21" s="19"/>
      <c r="N21" s="19"/>
      <c r="O21" s="19"/>
      <c r="P21" s="20"/>
    </row>
    <row r="22" spans="2:17" x14ac:dyDescent="0.3">
      <c r="B22" s="127" t="s">
        <v>344</v>
      </c>
      <c r="C22" s="19">
        <v>591</v>
      </c>
      <c r="D22" s="19">
        <v>185</v>
      </c>
      <c r="E22" s="19">
        <v>802</v>
      </c>
      <c r="F22" s="19">
        <v>533</v>
      </c>
      <c r="G22" s="19">
        <v>381</v>
      </c>
      <c r="H22" s="19">
        <v>665</v>
      </c>
      <c r="I22" s="19">
        <v>723</v>
      </c>
      <c r="J22" s="19">
        <v>248</v>
      </c>
      <c r="K22" s="19">
        <v>549</v>
      </c>
      <c r="L22" s="19">
        <v>436</v>
      </c>
      <c r="M22" s="51"/>
      <c r="N22" s="19"/>
      <c r="O22" s="19"/>
      <c r="P22" s="19"/>
      <c r="Q22" s="20"/>
    </row>
    <row r="23" spans="2:17" x14ac:dyDescent="0.3">
      <c r="B23" s="31" t="s">
        <v>345</v>
      </c>
      <c r="C23" s="19">
        <v>-1228</v>
      </c>
      <c r="D23" s="19">
        <v>-1300</v>
      </c>
      <c r="E23" s="19">
        <v>-1199</v>
      </c>
      <c r="F23" s="19">
        <v>-1676</v>
      </c>
      <c r="G23" s="19">
        <v>-1921</v>
      </c>
      <c r="H23" s="19">
        <v>-1064</v>
      </c>
      <c r="I23" s="19">
        <v>-1732</v>
      </c>
      <c r="J23" s="19">
        <v>-1825</v>
      </c>
      <c r="K23" s="19">
        <v>-1954</v>
      </c>
      <c r="L23" s="19">
        <v>-1705</v>
      </c>
      <c r="M23" s="51"/>
      <c r="N23" s="19"/>
      <c r="O23" s="19"/>
      <c r="P23" s="19"/>
      <c r="Q23" s="20"/>
    </row>
    <row r="24" spans="2:17" x14ac:dyDescent="0.3">
      <c r="B24" s="128" t="s">
        <v>60</v>
      </c>
      <c r="C24" s="129">
        <v>147.89999999999998</v>
      </c>
      <c r="D24" s="129">
        <v>171.20000000000002</v>
      </c>
      <c r="E24" s="129">
        <v>116.89999999999999</v>
      </c>
      <c r="F24" s="129">
        <v>119.7</v>
      </c>
      <c r="G24" s="129">
        <v>187.60000000000002</v>
      </c>
      <c r="H24" s="129">
        <v>102.10000000000001</v>
      </c>
      <c r="I24" s="129">
        <v>123.5</v>
      </c>
      <c r="J24" s="129">
        <v>188.5</v>
      </c>
      <c r="K24" s="129">
        <v>196.70000000000002</v>
      </c>
      <c r="L24" s="129">
        <v>1645</v>
      </c>
      <c r="M24" s="51"/>
      <c r="N24" s="19"/>
      <c r="O24" s="19"/>
      <c r="P24" s="19"/>
      <c r="Q24" s="20"/>
    </row>
    <row r="25" spans="2:17" x14ac:dyDescent="0.3">
      <c r="M25" s="51"/>
      <c r="N25" s="19"/>
      <c r="O25" s="19"/>
      <c r="P25" s="19"/>
      <c r="Q25" s="20"/>
    </row>
    <row r="26" spans="2:17" x14ac:dyDescent="0.3">
      <c r="M26" s="51"/>
      <c r="N26" s="19"/>
      <c r="O26" s="19"/>
      <c r="P26" s="19"/>
      <c r="Q26" s="20"/>
    </row>
    <row r="27" spans="2:17" x14ac:dyDescent="0.3">
      <c r="M27" s="51"/>
      <c r="N27" s="19"/>
      <c r="O27" s="19"/>
      <c r="P27" s="19"/>
      <c r="Q27" s="20"/>
    </row>
    <row r="28" spans="2:17" x14ac:dyDescent="0.3">
      <c r="M28" s="51"/>
      <c r="N28" s="19"/>
      <c r="O28" s="19"/>
      <c r="P28" s="19"/>
      <c r="Q28" s="20"/>
    </row>
    <row r="29" spans="2:17" x14ac:dyDescent="0.3">
      <c r="M29" s="51"/>
      <c r="N29" s="19"/>
      <c r="O29" s="19"/>
      <c r="P29" s="19"/>
      <c r="Q29" s="20"/>
    </row>
    <row r="30" spans="2:17" x14ac:dyDescent="0.3">
      <c r="M30" s="51"/>
      <c r="N30" s="19"/>
      <c r="O30" s="19"/>
      <c r="P30" s="19"/>
      <c r="Q30" s="20"/>
    </row>
    <row r="31" spans="2:17" x14ac:dyDescent="0.3">
      <c r="M31" s="51"/>
      <c r="N31" s="19"/>
      <c r="O31" s="19"/>
      <c r="P31" s="19"/>
      <c r="Q31" s="20"/>
    </row>
    <row r="32" spans="2:17" ht="15" thickBot="1" x14ac:dyDescent="0.35">
      <c r="M32" s="52"/>
      <c r="N32" s="23"/>
      <c r="O32" s="23"/>
      <c r="P32" s="23"/>
      <c r="Q32" s="20"/>
    </row>
    <row r="37" spans="3:16" x14ac:dyDescent="0.3">
      <c r="C37">
        <v>100</v>
      </c>
    </row>
    <row r="38" spans="3:16" x14ac:dyDescent="0.3">
      <c r="C38">
        <v>32</v>
      </c>
    </row>
    <row r="39" spans="3:16" x14ac:dyDescent="0.3">
      <c r="C39">
        <v>23</v>
      </c>
    </row>
    <row r="40" spans="3:16" x14ac:dyDescent="0.3">
      <c r="C40">
        <v>22</v>
      </c>
    </row>
    <row r="41" spans="3:16" x14ac:dyDescent="0.3">
      <c r="C41">
        <v>221</v>
      </c>
    </row>
    <row r="42" spans="3:16" x14ac:dyDescent="0.3">
      <c r="C42">
        <v>23</v>
      </c>
    </row>
    <row r="43" spans="3:16" x14ac:dyDescent="0.3">
      <c r="C43">
        <v>23</v>
      </c>
    </row>
    <row r="45" spans="3:16" x14ac:dyDescent="0.3">
      <c r="G45" s="126" t="s">
        <v>343</v>
      </c>
      <c r="H45" s="127" t="s">
        <v>344</v>
      </c>
      <c r="I45" s="31" t="s">
        <v>345</v>
      </c>
      <c r="J45" s="128" t="s">
        <v>60</v>
      </c>
      <c r="M45" t="str">
        <f t="shared" ref="M45:M55" si="1">G45</f>
        <v>Add</v>
      </c>
      <c r="N45" t="str">
        <f t="shared" ref="N45:N55" si="2">H45</f>
        <v>Subtract</v>
      </c>
      <c r="O45" t="str">
        <f t="shared" ref="O45:O55" si="3">I45</f>
        <v>Multiply</v>
      </c>
      <c r="P45" t="str">
        <f t="shared" ref="P45:P55" si="4">J45</f>
        <v>Divide</v>
      </c>
    </row>
    <row r="46" spans="3:16" x14ac:dyDescent="0.3">
      <c r="G46" s="19">
        <v>3679</v>
      </c>
      <c r="H46" s="19">
        <v>122</v>
      </c>
      <c r="I46" s="19">
        <v>323</v>
      </c>
      <c r="J46" s="129">
        <v>147.89999999999998</v>
      </c>
      <c r="M46">
        <f t="shared" si="1"/>
        <v>3679</v>
      </c>
      <c r="N46">
        <f t="shared" si="2"/>
        <v>122</v>
      </c>
      <c r="O46">
        <f t="shared" si="3"/>
        <v>323</v>
      </c>
      <c r="P46">
        <f t="shared" si="4"/>
        <v>147.89999999999998</v>
      </c>
    </row>
    <row r="47" spans="3:16" x14ac:dyDescent="0.3">
      <c r="G47" s="19">
        <v>2755</v>
      </c>
      <c r="H47" s="19">
        <v>185</v>
      </c>
      <c r="I47" s="19">
        <v>-1300</v>
      </c>
      <c r="J47" s="129">
        <v>171.20000000000002</v>
      </c>
      <c r="M47">
        <f t="shared" si="1"/>
        <v>2755</v>
      </c>
      <c r="N47">
        <f t="shared" si="2"/>
        <v>185</v>
      </c>
      <c r="O47">
        <f t="shared" si="3"/>
        <v>-1300</v>
      </c>
      <c r="P47">
        <f t="shared" si="4"/>
        <v>171.20000000000002</v>
      </c>
    </row>
    <row r="48" spans="3:16" x14ac:dyDescent="0.3">
      <c r="G48" s="19">
        <v>2178</v>
      </c>
      <c r="H48" s="19">
        <v>802</v>
      </c>
      <c r="I48" s="19">
        <v>-1199</v>
      </c>
      <c r="J48" s="129">
        <v>116.89999999999999</v>
      </c>
      <c r="M48">
        <f t="shared" si="1"/>
        <v>2178</v>
      </c>
      <c r="N48">
        <f t="shared" si="2"/>
        <v>802</v>
      </c>
      <c r="O48">
        <f t="shared" si="3"/>
        <v>-1199</v>
      </c>
      <c r="P48">
        <f t="shared" si="4"/>
        <v>116.89999999999999</v>
      </c>
    </row>
    <row r="49" spans="7:16" x14ac:dyDescent="0.3">
      <c r="G49" s="19">
        <v>2689</v>
      </c>
      <c r="H49" s="19">
        <v>533</v>
      </c>
      <c r="I49" s="19">
        <v>-1676</v>
      </c>
      <c r="J49" s="129">
        <v>119.7</v>
      </c>
      <c r="M49">
        <f t="shared" si="1"/>
        <v>2689</v>
      </c>
      <c r="N49">
        <f t="shared" si="2"/>
        <v>533</v>
      </c>
      <c r="O49">
        <f t="shared" si="3"/>
        <v>-1676</v>
      </c>
      <c r="P49">
        <f t="shared" si="4"/>
        <v>119.7</v>
      </c>
    </row>
    <row r="50" spans="7:16" x14ac:dyDescent="0.3">
      <c r="G50" s="19">
        <v>2382</v>
      </c>
      <c r="H50" s="19">
        <v>381</v>
      </c>
      <c r="I50" s="19">
        <v>-1921</v>
      </c>
      <c r="J50" s="129">
        <v>187.60000000000002</v>
      </c>
      <c r="M50">
        <f t="shared" si="1"/>
        <v>2382</v>
      </c>
      <c r="N50">
        <f t="shared" si="2"/>
        <v>381</v>
      </c>
      <c r="O50">
        <f t="shared" si="3"/>
        <v>-1921</v>
      </c>
      <c r="P50">
        <f t="shared" si="4"/>
        <v>187.60000000000002</v>
      </c>
    </row>
    <row r="51" spans="7:16" x14ac:dyDescent="0.3">
      <c r="G51" s="19">
        <v>1095</v>
      </c>
      <c r="H51" s="19">
        <v>665</v>
      </c>
      <c r="I51" s="19">
        <v>-1064</v>
      </c>
      <c r="J51" s="129">
        <v>102.10000000000001</v>
      </c>
      <c r="M51">
        <f t="shared" si="1"/>
        <v>1095</v>
      </c>
      <c r="N51">
        <f t="shared" si="2"/>
        <v>665</v>
      </c>
      <c r="O51">
        <f t="shared" si="3"/>
        <v>-1064</v>
      </c>
      <c r="P51">
        <f t="shared" si="4"/>
        <v>102.10000000000001</v>
      </c>
    </row>
    <row r="52" spans="7:16" x14ac:dyDescent="0.3">
      <c r="G52" s="19">
        <v>3060</v>
      </c>
      <c r="H52" s="19">
        <v>723</v>
      </c>
      <c r="I52" s="19">
        <v>-1732</v>
      </c>
      <c r="J52" s="129">
        <v>123.5</v>
      </c>
      <c r="M52">
        <f t="shared" si="1"/>
        <v>3060</v>
      </c>
      <c r="N52">
        <f t="shared" si="2"/>
        <v>723</v>
      </c>
      <c r="O52">
        <f t="shared" si="3"/>
        <v>-1732</v>
      </c>
      <c r="P52">
        <f t="shared" si="4"/>
        <v>123.5</v>
      </c>
    </row>
    <row r="53" spans="7:16" x14ac:dyDescent="0.3">
      <c r="G53" s="19">
        <v>1027</v>
      </c>
      <c r="H53" s="19">
        <v>248</v>
      </c>
      <c r="I53" s="19">
        <v>-1825</v>
      </c>
      <c r="J53" s="129">
        <v>188.5</v>
      </c>
      <c r="M53">
        <f t="shared" si="1"/>
        <v>1027</v>
      </c>
      <c r="N53">
        <f t="shared" si="2"/>
        <v>248</v>
      </c>
      <c r="O53">
        <f t="shared" si="3"/>
        <v>-1825</v>
      </c>
      <c r="P53">
        <f t="shared" si="4"/>
        <v>188.5</v>
      </c>
    </row>
    <row r="54" spans="7:16" x14ac:dyDescent="0.3">
      <c r="G54" s="19">
        <v>2299</v>
      </c>
      <c r="H54" s="19">
        <v>549</v>
      </c>
      <c r="I54" s="19">
        <v>-1954</v>
      </c>
      <c r="J54" s="129">
        <v>196.70000000000002</v>
      </c>
      <c r="M54">
        <f t="shared" si="1"/>
        <v>2299</v>
      </c>
      <c r="N54">
        <f t="shared" si="2"/>
        <v>549</v>
      </c>
      <c r="O54">
        <f t="shared" si="3"/>
        <v>-1954</v>
      </c>
      <c r="P54">
        <f t="shared" si="4"/>
        <v>196.70000000000002</v>
      </c>
    </row>
    <row r="55" spans="7:16" x14ac:dyDescent="0.3">
      <c r="G55" s="19">
        <v>3102</v>
      </c>
      <c r="H55" s="19">
        <v>436</v>
      </c>
      <c r="I55" s="19">
        <v>-1705</v>
      </c>
      <c r="J55" s="129">
        <v>1645</v>
      </c>
      <c r="M55">
        <f t="shared" si="1"/>
        <v>3102</v>
      </c>
      <c r="N55">
        <f t="shared" si="2"/>
        <v>436</v>
      </c>
      <c r="O55">
        <f t="shared" si="3"/>
        <v>-1705</v>
      </c>
      <c r="P55">
        <f t="shared" si="4"/>
        <v>1645</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2B7B-2DF8-45F6-9D4F-60F268335F1C}">
  <dimension ref="D5:H19"/>
  <sheetViews>
    <sheetView tabSelected="1" workbookViewId="0">
      <selection activeCell="Q12" sqref="Q12"/>
    </sheetView>
  </sheetViews>
  <sheetFormatPr defaultRowHeight="14.4" x14ac:dyDescent="0.3"/>
  <cols>
    <col min="4" max="4" width="10.33203125" bestFit="1" customWidth="1"/>
    <col min="5" max="5" width="18.21875" bestFit="1" customWidth="1"/>
    <col min="7" max="7" width="4.77734375" bestFit="1" customWidth="1"/>
  </cols>
  <sheetData>
    <row r="5" spans="4:8" ht="15" thickBot="1" x14ac:dyDescent="0.35"/>
    <row r="6" spans="4:8" x14ac:dyDescent="0.3">
      <c r="D6" s="136" t="s">
        <v>69</v>
      </c>
      <c r="E6" s="137" t="s">
        <v>70</v>
      </c>
      <c r="F6" s="137" t="s">
        <v>57</v>
      </c>
      <c r="G6" s="137" t="s">
        <v>58</v>
      </c>
      <c r="H6" s="138" t="s">
        <v>59</v>
      </c>
    </row>
    <row r="7" spans="4:8" x14ac:dyDescent="0.3">
      <c r="D7" s="130">
        <v>45711</v>
      </c>
      <c r="E7" s="139" t="s">
        <v>71</v>
      </c>
      <c r="F7" s="139">
        <v>314</v>
      </c>
      <c r="G7" s="131">
        <v>582</v>
      </c>
      <c r="H7" s="132">
        <v>182748</v>
      </c>
    </row>
    <row r="8" spans="4:8" x14ac:dyDescent="0.3">
      <c r="D8" s="130">
        <v>45712</v>
      </c>
      <c r="E8" s="131" t="s">
        <v>72</v>
      </c>
      <c r="F8" s="131">
        <v>405</v>
      </c>
      <c r="G8" s="131">
        <v>855</v>
      </c>
      <c r="H8" s="132">
        <v>346275</v>
      </c>
    </row>
    <row r="9" spans="4:8" x14ac:dyDescent="0.3">
      <c r="D9" s="140">
        <v>45713</v>
      </c>
      <c r="E9" s="131" t="s">
        <v>73</v>
      </c>
      <c r="F9" s="131">
        <v>249</v>
      </c>
      <c r="G9" s="131">
        <v>665</v>
      </c>
      <c r="H9" s="132">
        <v>165585</v>
      </c>
    </row>
    <row r="10" spans="4:8" x14ac:dyDescent="0.3">
      <c r="D10" s="130">
        <v>45712</v>
      </c>
      <c r="E10" s="139" t="s">
        <v>74</v>
      </c>
      <c r="F10" s="131">
        <v>300</v>
      </c>
      <c r="G10" s="139">
        <v>907</v>
      </c>
      <c r="H10" s="132">
        <v>272100</v>
      </c>
    </row>
    <row r="11" spans="4:8" x14ac:dyDescent="0.3">
      <c r="D11" s="130">
        <v>45711</v>
      </c>
      <c r="E11" s="139" t="s">
        <v>75</v>
      </c>
      <c r="F11" s="131">
        <v>463</v>
      </c>
      <c r="G11" s="131">
        <v>521</v>
      </c>
      <c r="H11" s="132">
        <v>241223</v>
      </c>
    </row>
    <row r="12" spans="4:8" x14ac:dyDescent="0.3">
      <c r="D12" s="130">
        <v>45713</v>
      </c>
      <c r="E12" s="131" t="s">
        <v>76</v>
      </c>
      <c r="F12" s="131">
        <v>433</v>
      </c>
      <c r="G12" s="131">
        <v>500</v>
      </c>
      <c r="H12" s="141">
        <v>216500</v>
      </c>
    </row>
    <row r="13" spans="4:8" x14ac:dyDescent="0.3">
      <c r="D13" s="130">
        <v>45709</v>
      </c>
      <c r="E13" s="131" t="s">
        <v>77</v>
      </c>
      <c r="F13" s="131">
        <v>281</v>
      </c>
      <c r="G13" s="131">
        <v>876</v>
      </c>
      <c r="H13" s="132">
        <v>246156</v>
      </c>
    </row>
    <row r="14" spans="4:8" x14ac:dyDescent="0.3">
      <c r="D14" s="130">
        <v>45710</v>
      </c>
      <c r="E14" s="131" t="s">
        <v>78</v>
      </c>
      <c r="F14" s="131">
        <v>376</v>
      </c>
      <c r="G14" s="131">
        <v>856</v>
      </c>
      <c r="H14" s="132">
        <v>321856</v>
      </c>
    </row>
    <row r="15" spans="4:8" x14ac:dyDescent="0.3">
      <c r="D15" s="130">
        <v>45711</v>
      </c>
      <c r="E15" s="131" t="s">
        <v>347</v>
      </c>
      <c r="F15" s="131">
        <v>376</v>
      </c>
      <c r="G15" s="131">
        <v>588</v>
      </c>
      <c r="H15" s="141">
        <v>221088</v>
      </c>
    </row>
    <row r="16" spans="4:8" x14ac:dyDescent="0.3">
      <c r="D16" s="130">
        <v>45712</v>
      </c>
      <c r="E16" s="139" t="s">
        <v>348</v>
      </c>
      <c r="F16" s="131">
        <v>292</v>
      </c>
      <c r="G16" s="131">
        <v>816</v>
      </c>
      <c r="H16" s="132">
        <v>238272</v>
      </c>
    </row>
    <row r="17" spans="4:8" x14ac:dyDescent="0.3">
      <c r="D17" s="130">
        <v>45713</v>
      </c>
      <c r="E17" s="131" t="s">
        <v>81</v>
      </c>
      <c r="F17" s="131">
        <v>400</v>
      </c>
      <c r="G17" s="139">
        <v>932</v>
      </c>
      <c r="H17" s="132">
        <v>372800</v>
      </c>
    </row>
    <row r="18" spans="4:8" x14ac:dyDescent="0.3">
      <c r="D18" s="130">
        <v>45711</v>
      </c>
      <c r="E18" s="139" t="s">
        <v>82</v>
      </c>
      <c r="F18" s="131">
        <v>356</v>
      </c>
      <c r="G18" s="131">
        <v>814</v>
      </c>
      <c r="H18" s="132">
        <v>289784</v>
      </c>
    </row>
    <row r="19" spans="4:8" ht="15" thickBot="1" x14ac:dyDescent="0.35">
      <c r="D19" s="133">
        <v>45712</v>
      </c>
      <c r="E19" s="134" t="s">
        <v>83</v>
      </c>
      <c r="F19" s="134">
        <v>205</v>
      </c>
      <c r="G19" s="134">
        <v>657</v>
      </c>
      <c r="H19" s="135">
        <v>134685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Selection</vt:lpstr>
      <vt:lpstr>Adjustement</vt:lpstr>
      <vt:lpstr>Basic Formating</vt:lpstr>
      <vt:lpstr>Advance Formating</vt:lpstr>
      <vt:lpstr>clipboard</vt:lpstr>
      <vt:lpstr>Wrap and shrink</vt:lpstr>
      <vt:lpstr>main</vt:lpstr>
      <vt:lpstr>Normal Format</vt:lpstr>
      <vt:lpstr>conditional formating</vt:lpstr>
      <vt:lpstr>Table creation</vt:lpstr>
      <vt:lpstr>cell style (2)</vt:lpstr>
      <vt:lpstr>cell style</vt:lpstr>
      <vt:lpstr>series</vt:lpstr>
      <vt:lpstr>Filter</vt:lpstr>
      <vt:lpstr>Go to Special</vt:lpstr>
      <vt:lpstr>Paste special</vt:lpstr>
      <vt:lpstr>Find n replace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Afroj Ali</dc:creator>
  <cp:lastModifiedBy>Afroj Ali</cp:lastModifiedBy>
  <dcterms:created xsi:type="dcterms:W3CDTF">2026-04-20T19:58:19Z</dcterms:created>
  <dcterms:modified xsi:type="dcterms:W3CDTF">2026-04-24T07:02:12Z</dcterms:modified>
</cp:coreProperties>
</file>